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24226"/>
  <mc:AlternateContent xmlns:mc="http://schemas.openxmlformats.org/markup-compatibility/2006">
    <mc:Choice Requires="x15">
      <x15ac:absPath xmlns:x15ac="http://schemas.microsoft.com/office/spreadsheetml/2010/11/ac" url="C:\Users\Cloud\Downloads\Cardiac Surgery &amp; Mortality Risk Analysis file\"/>
    </mc:Choice>
  </mc:AlternateContent>
  <xr:revisionPtr revIDLastSave="0" documentId="13_ncr:1_{0DAA4A10-46E4-4B60-9D00-DEA1268943C1}" xr6:coauthVersionLast="47" xr6:coauthVersionMax="47" xr10:uidLastSave="{00000000-0000-0000-0000-000000000000}"/>
  <bookViews>
    <workbookView xWindow="-120" yWindow="-120" windowWidth="29040" windowHeight="15840" activeTab="4" xr2:uid="{00000000-000D-0000-FFFF-FFFF00000000}"/>
  </bookViews>
  <sheets>
    <sheet name="Data" sheetId="1" r:id="rId1"/>
    <sheet name="EDA" sheetId="6" r:id="rId2"/>
    <sheet name="Operation by operation type-EDA" sheetId="4" r:id="rId3"/>
    <sheet name="Actual&amp;Predicted mortality(EDA)" sheetId="5" r:id="rId4"/>
    <sheet name="Cardiac_Surgery_Dashboard" sheetId="3" r:id="rId5"/>
  </sheets>
  <definedNames>
    <definedName name="_xlnm._FilterDatabase" localSheetId="0" hidden="1">Data!$B$1:$K$1336</definedName>
    <definedName name="NativeTimeline_Hospital_Admit_Date">#N/A</definedName>
    <definedName name="NativeTimeline_Procedure_Start_Date_and_Time">#N/A</definedName>
    <definedName name="Slicer_Operation_Type">#N/A</definedName>
    <definedName name="Slicer_Patient_Status_at_Discharg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338" i="1" l="1" a="1"/>
  <c r="G1338" i="1" s="1"/>
  <c r="F18" i="6"/>
  <c r="F19" i="6"/>
  <c r="F20" i="6"/>
  <c r="F21" i="6"/>
  <c r="F22" i="6"/>
  <c r="F23" i="6"/>
  <c r="F24" i="6"/>
  <c r="F25" i="6"/>
  <c r="F26" i="6"/>
  <c r="F27" i="6"/>
  <c r="F28" i="6"/>
  <c r="F29" i="6"/>
  <c r="F30" i="6"/>
  <c r="F31" i="6"/>
  <c r="F32" i="6"/>
  <c r="F33" i="6"/>
  <c r="F34" i="6"/>
  <c r="F17" i="6"/>
  <c r="F1338" i="1" a="1"/>
  <c r="F1338" i="1" s="1"/>
  <c r="K1339" i="1"/>
  <c r="K1337" i="1"/>
  <c r="K1338" i="1" s="1"/>
  <c r="K1340" i="1" s="1"/>
  <c r="A1337"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<sst xmlns="http://schemas.openxmlformats.org/spreadsheetml/2006/main" count="6798" uniqueCount="63">
  <si>
    <t>salvage</t>
  </si>
  <si>
    <t>Aorta surgery</t>
  </si>
  <si>
    <t>emergency</t>
  </si>
  <si>
    <t>Valve</t>
  </si>
  <si>
    <t>elective</t>
  </si>
  <si>
    <t>Major cardiac</t>
  </si>
  <si>
    <t>urgent</t>
  </si>
  <si>
    <t>None</t>
  </si>
  <si>
    <t>Other</t>
  </si>
  <si>
    <t>Procedure Start Date and Time</t>
  </si>
  <si>
    <t>CABG</t>
  </si>
  <si>
    <t>CABG &amp; Valve</t>
  </si>
  <si>
    <t>Patient Status at Discharge</t>
  </si>
  <si>
    <t>Died</t>
  </si>
  <si>
    <t>Unknown</t>
  </si>
  <si>
    <t>Alive</t>
  </si>
  <si>
    <t>Risk of Death % (Model 1)</t>
  </si>
  <si>
    <t>Risk of Death % (Model 2)</t>
  </si>
  <si>
    <t>ID Number</t>
  </si>
  <si>
    <t>Priority</t>
  </si>
  <si>
    <t>A Abbott</t>
  </si>
  <si>
    <t>B Bryant</t>
  </si>
  <si>
    <t>C Cuthbert</t>
  </si>
  <si>
    <t>E Ellingson</t>
  </si>
  <si>
    <t>C Cheung</t>
  </si>
  <si>
    <t>L LeBlanc</t>
  </si>
  <si>
    <t>G Guy</t>
  </si>
  <si>
    <t>R Rubiella</t>
  </si>
  <si>
    <t>I Ibbotson</t>
  </si>
  <si>
    <t>W Wilkening</t>
  </si>
  <si>
    <t>S Scully</t>
  </si>
  <si>
    <t>H Hodgson</t>
  </si>
  <si>
    <t>C Shasikaran</t>
  </si>
  <si>
    <t xml:space="preserve">K Doran </t>
  </si>
  <si>
    <t>L Shepard</t>
  </si>
  <si>
    <t>F Randle</t>
  </si>
  <si>
    <t>Multiple Surgeon Team</t>
  </si>
  <si>
    <t>Operation Type</t>
  </si>
  <si>
    <t>Surgeon Name</t>
  </si>
  <si>
    <t>Location ID</t>
  </si>
  <si>
    <t xml:space="preserve">Hospital Admit Date </t>
  </si>
  <si>
    <t xml:space="preserve">Creatinine at time of Surgery </t>
  </si>
  <si>
    <t>Height</t>
  </si>
  <si>
    <t>Weight</t>
  </si>
  <si>
    <t>Good</t>
  </si>
  <si>
    <t>Poor</t>
  </si>
  <si>
    <t>Moderate</t>
  </si>
  <si>
    <t>Very Poor</t>
  </si>
  <si>
    <t>Ejection fraction category</t>
  </si>
  <si>
    <t>Ejection Fraction</t>
  </si>
  <si>
    <t>Patient Age</t>
  </si>
  <si>
    <t>Row Labels</t>
  </si>
  <si>
    <t>Grand Total</t>
  </si>
  <si>
    <t>Count of Surgeon Name</t>
  </si>
  <si>
    <t>Column Labels</t>
  </si>
  <si>
    <t>Count of ID Number</t>
  </si>
  <si>
    <t>Average of Risk of Death % (Model 1)</t>
  </si>
  <si>
    <t>Average of Risk of Death % (Model 2)</t>
  </si>
  <si>
    <t xml:space="preserve">Died </t>
  </si>
  <si>
    <t xml:space="preserve">Unknown </t>
  </si>
  <si>
    <t xml:space="preserve">Mortality Rate </t>
  </si>
  <si>
    <t>Count of Operation Type</t>
  </si>
  <si>
    <t>Count of Patient Status at Discharge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</si>
</sst>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yyyy\ hh:mm"/>
    <numFmt numFmtId="165" formatCode="0.0%"/>
  </numFmts>
  <fonts count="4" x14ac:knownFonts="1">
    <font>
      <sz val="11"/>
      <color theme="1"/>
      <name val="Calibri"/>
      <family val="2"/>
      <scheme val="minor"/>
    </font>
    <font>
      <sz val="11"/>
      <color theme="1"/>
      <name val="Calibri"/>
      <family val="2"/>
      <scheme val="minor"/>
    </font>
    <font>
      <sz val="11"/>
      <color theme="0"/>
      <name val="Calibri"/>
      <family val="2"/>
      <scheme val="minor"/>
    </font>
    <font>
      <b/>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3"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49" fontId="0" fillId="0" borderId="0" xfId="0" applyNumberFormat="1"/>
    <xf numFmtId="22"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xf numFmtId="2" fontId="0" fillId="0" borderId="0" xfId="0" applyNumberFormat="1"/>
    <xf numFmtId="0" fontId="2" fillId="2" borderId="0" xfId="0" applyFont="1" applyFill="1"/>
    <xf numFmtId="164" fontId="0" fillId="0" borderId="0" xfId="0" applyNumberFormat="1"/>
    <xf numFmtId="0" fontId="0" fillId="2" borderId="0" xfId="0" applyFont="1" applyFill="1"/>
    <xf numFmtId="9" fontId="0" fillId="0" borderId="0" xfId="1" applyFont="1"/>
    <xf numFmtId="165" fontId="0" fillId="0" borderId="0" xfId="1" applyNumberFormat="1" applyFont="1"/>
    <xf numFmtId="0" fontId="0" fillId="3" borderId="0" xfId="0" applyFill="1"/>
    <xf numFmtId="0" fontId="3" fillId="3" borderId="0" xfId="0" applyFont="1" applyFill="1"/>
  </cellXfs>
  <cellStyles count="2">
    <cellStyle name="Normal" xfId="0" builtinId="0"/>
    <cellStyle name="Percent" xfId="1" builtinId="5"/>
  </cellStyles>
  <dxfs count="28">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dd/mm/yyyy\ hh:mm"/>
    </dxf>
    <dxf>
      <numFmt numFmtId="164" formatCode="dd/mm/yyyy\ hh:mm"/>
    </dxf>
    <dxf>
      <numFmt numFmtId="164" formatCode="dd/mm/yyyy\ hh:mm"/>
    </dxf>
    <dxf>
      <numFmt numFmtId="164" formatCode="dd/mm/yyyy\ hh:mm"/>
    </dxf>
    <dxf>
      <font>
        <b/>
        <sz val="11"/>
        <color theme="1"/>
      </font>
    </dxf>
    <dxf>
      <fill>
        <patternFill patternType="solid">
          <fgColor theme="0"/>
          <bgColor theme="0"/>
        </patternFill>
      </fill>
      <border diagonalUp="0" diagonalDown="0">
        <left/>
        <right/>
        <top/>
        <bottom/>
        <vertical/>
        <horizontal/>
      </border>
    </dxf>
    <dxf>
      <border diagonalUp="0" diagonalDown="0">
        <left/>
        <right/>
        <top/>
        <bottom/>
        <vertical/>
        <horizontal/>
      </border>
    </dxf>
    <dxf>
      <border diagonalUp="0" diagonalDown="0">
        <left/>
        <right/>
        <top/>
        <bottom/>
        <vertical/>
        <horizontal/>
      </border>
    </dxf>
  </dxfs>
  <tableStyles count="3" defaultTableStyle="TableStyleMedium2" defaultPivotStyle="PivotStyleLight16">
    <tableStyle name="Slicer Style 1" pivot="0" table="0" count="1" xr9:uid="{1D1B7EE1-14D4-4E37-90A5-F218A88E04CD}">
      <tableStyleElement type="wholeTable" dxfId="27"/>
    </tableStyle>
    <tableStyle name="Slicer Style 2" pivot="0" table="0" count="1" xr9:uid="{85070D56-E752-49A1-8235-FA2DF52CCB26}">
      <tableStyleElement type="wholeTable" dxfId="26"/>
    </tableStyle>
    <tableStyle name="Timeline Style 1" pivot="0" table="0" count="8" xr9:uid="{A4F16B72-B21A-48C2-884D-9E841CB25F77}">
      <tableStyleElement type="wholeTable" dxfId="25"/>
      <tableStyleElement type="headerRow" dxfId="24"/>
    </tableStyle>
  </tableStyles>
  <colors>
    <mruColors>
      <color rgb="FF4B4B4B"/>
      <color rgb="FF414141"/>
      <color rgb="FF686868"/>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11/relationships/timelineCache" Target="timelineCaches/timelineCache2.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[Cardiac Surgery &amp; Mortality Risk Analysis.xlsx]Operation by operation type-EDA!PivotTable8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'Operation by operation type-EDA'!$B$3:$B$4</c:f>
              <c:strCache>
                <c:ptCount val="1"/>
                <c:pt idx="0">
                  <c:v>Aorta surgery</c:v>
                </c:pt>
              </c:strCache>
            </c:strRef>
          </c:tx>
          <c:spPr>
            <a:solidFill>
              <a:schemeClr val="accent1"/>
            </a:solidFill>
            <a:ln>
              <a:noFill/>
            </a:ln>
            <a:effectLst/>
          </c:spPr>
          <c:invertIfNegative val="0"/>
          <c:cat>
            <c:strRef>
              <c:f>'Operation by operation type-EDA'!$A$5:$A$15</c:f>
              <c:strCache>
                <c:ptCount val="10"/>
                <c:pt idx="0">
                  <c:v>B Bryant</c:v>
                </c:pt>
                <c:pt idx="1">
                  <c:v>C Cheung</c:v>
                </c:pt>
                <c:pt idx="2">
                  <c:v>C Shasikaran</c:v>
                </c:pt>
                <c:pt idx="3">
                  <c:v>E Ellingson</c:v>
                </c:pt>
                <c:pt idx="4">
                  <c:v>F Randle</c:v>
                </c:pt>
                <c:pt idx="5">
                  <c:v>G Guy</c:v>
                </c:pt>
                <c:pt idx="6">
                  <c:v>H Hodgson</c:v>
                </c:pt>
                <c:pt idx="7">
                  <c:v>I Ibbotson</c:v>
                </c:pt>
                <c:pt idx="8">
                  <c:v>K Doran </c:v>
                </c:pt>
                <c:pt idx="9">
                  <c:v>S Scully</c:v>
                </c:pt>
              </c:strCache>
            </c:strRef>
          </c:cat>
          <c:val>
            <c:numRef>
              <c:f>'Operation by operation type-EDA'!$B$5:$B$15</c:f>
              <c:numCache>
                <c:formatCode>General</c:formatCode>
                <c:ptCount val="10"/>
                <c:pt idx="0">
                  <c:v>5</c:v>
                </c:pt>
                <c:pt idx="1">
                  <c:v>6</c:v>
                </c:pt>
                <c:pt idx="2">
                  <c:v>2</c:v>
                </c:pt>
                <c:pt idx="3">
                  <c:v>49</c:v>
                </c:pt>
                <c:pt idx="5">
                  <c:v>2</c:v>
                </c:pt>
                <c:pt idx="6">
                  <c:v>12</c:v>
                </c:pt>
                <c:pt idx="7">
                  <c:v>3</c:v>
                </c:pt>
                <c:pt idx="8">
                  <c:v>5</c:v>
                </c:pt>
                <c:pt idx="9">
                  <c:v>11</c:v>
                </c:pt>
              </c:numCache>
            </c:numRef>
          </c:val>
          <c:extLst>
            <c:ext xmlns:c16="http://schemas.microsoft.com/office/drawing/2014/chart" uri="{C3380CC4-5D6E-409C-BE32-E72D297353CC}">
              <c16:uniqueId val="{00000000-9370-4989-9646-D451154A495E}"/>
            </c:ext>
          </c:extLst>
        </c:ser>
        <c:ser>
          <c:idx val="1"/>
          <c:order val="1"/>
          <c:tx>
            <c:strRef>
              <c:f>'Operation by operation type-EDA'!$C$3:$C$4</c:f>
              <c:strCache>
                <c:ptCount val="1"/>
                <c:pt idx="0">
                  <c:v>CABG</c:v>
                </c:pt>
              </c:strCache>
            </c:strRef>
          </c:tx>
          <c:spPr>
            <a:solidFill>
              <a:schemeClr val="accent2"/>
            </a:solidFill>
            <a:ln>
              <a:noFill/>
            </a:ln>
            <a:effectLst/>
          </c:spPr>
          <c:invertIfNegative val="0"/>
          <c:cat>
            <c:strRef>
              <c:f>'Operation by operation type-EDA'!$A$5:$A$15</c:f>
              <c:strCache>
                <c:ptCount val="10"/>
                <c:pt idx="0">
                  <c:v>B Bryant</c:v>
                </c:pt>
                <c:pt idx="1">
                  <c:v>C Cheung</c:v>
                </c:pt>
                <c:pt idx="2">
                  <c:v>C Shasikaran</c:v>
                </c:pt>
                <c:pt idx="3">
                  <c:v>E Ellingson</c:v>
                </c:pt>
                <c:pt idx="4">
                  <c:v>F Randle</c:v>
                </c:pt>
                <c:pt idx="5">
                  <c:v>G Guy</c:v>
                </c:pt>
                <c:pt idx="6">
                  <c:v>H Hodgson</c:v>
                </c:pt>
                <c:pt idx="7">
                  <c:v>I Ibbotson</c:v>
                </c:pt>
                <c:pt idx="8">
                  <c:v>K Doran </c:v>
                </c:pt>
                <c:pt idx="9">
                  <c:v>S Scully</c:v>
                </c:pt>
              </c:strCache>
            </c:strRef>
          </c:cat>
          <c:val>
            <c:numRef>
              <c:f>'Operation by operation type-EDA'!$C$5:$C$15</c:f>
              <c:numCache>
                <c:formatCode>General</c:formatCode>
                <c:ptCount val="10"/>
                <c:pt idx="0">
                  <c:v>43</c:v>
                </c:pt>
                <c:pt idx="1">
                  <c:v>59</c:v>
                </c:pt>
                <c:pt idx="2">
                  <c:v>15</c:v>
                </c:pt>
                <c:pt idx="3">
                  <c:v>48</c:v>
                </c:pt>
                <c:pt idx="4">
                  <c:v>7</c:v>
                </c:pt>
                <c:pt idx="5">
                  <c:v>37</c:v>
                </c:pt>
                <c:pt idx="6">
                  <c:v>89</c:v>
                </c:pt>
                <c:pt idx="7">
                  <c:v>9</c:v>
                </c:pt>
                <c:pt idx="8">
                  <c:v>33</c:v>
                </c:pt>
                <c:pt idx="9">
                  <c:v>50</c:v>
                </c:pt>
              </c:numCache>
            </c:numRef>
          </c:val>
          <c:extLst>
            <c:ext xmlns:c16="http://schemas.microsoft.com/office/drawing/2014/chart" uri="{C3380CC4-5D6E-409C-BE32-E72D297353CC}">
              <c16:uniqueId val="{00000001-9370-4989-9646-D451154A495E}"/>
            </c:ext>
          </c:extLst>
        </c:ser>
        <c:ser>
          <c:idx val="2"/>
          <c:order val="2"/>
          <c:tx>
            <c:strRef>
              <c:f>'Operation by operation type-EDA'!$D$3:$D$4</c:f>
              <c:strCache>
                <c:ptCount val="1"/>
                <c:pt idx="0">
                  <c:v>CABG &amp; Valve</c:v>
                </c:pt>
              </c:strCache>
            </c:strRef>
          </c:tx>
          <c:spPr>
            <a:solidFill>
              <a:schemeClr val="accent3"/>
            </a:solidFill>
            <a:ln>
              <a:noFill/>
            </a:ln>
            <a:effectLst/>
          </c:spPr>
          <c:invertIfNegative val="0"/>
          <c:cat>
            <c:strRef>
              <c:f>'Operation by operation type-EDA'!$A$5:$A$15</c:f>
              <c:strCache>
                <c:ptCount val="10"/>
                <c:pt idx="0">
                  <c:v>B Bryant</c:v>
                </c:pt>
                <c:pt idx="1">
                  <c:v>C Cheung</c:v>
                </c:pt>
                <c:pt idx="2">
                  <c:v>C Shasikaran</c:v>
                </c:pt>
                <c:pt idx="3">
                  <c:v>E Ellingson</c:v>
                </c:pt>
                <c:pt idx="4">
                  <c:v>F Randle</c:v>
                </c:pt>
                <c:pt idx="5">
                  <c:v>G Guy</c:v>
                </c:pt>
                <c:pt idx="6">
                  <c:v>H Hodgson</c:v>
                </c:pt>
                <c:pt idx="7">
                  <c:v>I Ibbotson</c:v>
                </c:pt>
                <c:pt idx="8">
                  <c:v>K Doran </c:v>
                </c:pt>
                <c:pt idx="9">
                  <c:v>S Scully</c:v>
                </c:pt>
              </c:strCache>
            </c:strRef>
          </c:cat>
          <c:val>
            <c:numRef>
              <c:f>'Operation by operation type-EDA'!$D$5:$D$15</c:f>
              <c:numCache>
                <c:formatCode>General</c:formatCode>
                <c:ptCount val="10"/>
                <c:pt idx="0">
                  <c:v>12</c:v>
                </c:pt>
                <c:pt idx="1">
                  <c:v>20</c:v>
                </c:pt>
                <c:pt idx="2">
                  <c:v>31</c:v>
                </c:pt>
                <c:pt idx="3">
                  <c:v>24</c:v>
                </c:pt>
                <c:pt idx="4">
                  <c:v>16</c:v>
                </c:pt>
                <c:pt idx="5">
                  <c:v>20</c:v>
                </c:pt>
                <c:pt idx="6">
                  <c:v>28</c:v>
                </c:pt>
                <c:pt idx="7">
                  <c:v>16</c:v>
                </c:pt>
                <c:pt idx="8">
                  <c:v>18</c:v>
                </c:pt>
                <c:pt idx="9">
                  <c:v>20</c:v>
                </c:pt>
              </c:numCache>
            </c:numRef>
          </c:val>
          <c:extLst>
            <c:ext xmlns:c16="http://schemas.microsoft.com/office/drawing/2014/chart" uri="{C3380CC4-5D6E-409C-BE32-E72D297353CC}">
              <c16:uniqueId val="{00000002-9370-4989-9646-D451154A495E}"/>
            </c:ext>
          </c:extLst>
        </c:ser>
        <c:ser>
          <c:idx val="3"/>
          <c:order val="3"/>
          <c:tx>
            <c:strRef>
              <c:f>'Operation by operation type-EDA'!$E$3:$E$4</c:f>
              <c:strCache>
                <c:ptCount val="1"/>
                <c:pt idx="0">
                  <c:v>Major cardiac</c:v>
                </c:pt>
              </c:strCache>
            </c:strRef>
          </c:tx>
          <c:spPr>
            <a:solidFill>
              <a:schemeClr val="accent4"/>
            </a:solidFill>
            <a:ln>
              <a:noFill/>
            </a:ln>
            <a:effectLst/>
          </c:spPr>
          <c:invertIfNegative val="0"/>
          <c:cat>
            <c:strRef>
              <c:f>'Operation by operation type-EDA'!$A$5:$A$15</c:f>
              <c:strCache>
                <c:ptCount val="10"/>
                <c:pt idx="0">
                  <c:v>B Bryant</c:v>
                </c:pt>
                <c:pt idx="1">
                  <c:v>C Cheung</c:v>
                </c:pt>
                <c:pt idx="2">
                  <c:v>C Shasikaran</c:v>
                </c:pt>
                <c:pt idx="3">
                  <c:v>E Ellingson</c:v>
                </c:pt>
                <c:pt idx="4">
                  <c:v>F Randle</c:v>
                </c:pt>
                <c:pt idx="5">
                  <c:v>G Guy</c:v>
                </c:pt>
                <c:pt idx="6">
                  <c:v>H Hodgson</c:v>
                </c:pt>
                <c:pt idx="7">
                  <c:v>I Ibbotson</c:v>
                </c:pt>
                <c:pt idx="8">
                  <c:v>K Doran </c:v>
                </c:pt>
                <c:pt idx="9">
                  <c:v>S Scully</c:v>
                </c:pt>
              </c:strCache>
            </c:strRef>
          </c:cat>
          <c:val>
            <c:numRef>
              <c:f>'Operation by operation type-EDA'!$E$5:$E$15</c:f>
              <c:numCache>
                <c:formatCode>General</c:formatCode>
                <c:ptCount val="10"/>
                <c:pt idx="2">
                  <c:v>1</c:v>
                </c:pt>
                <c:pt idx="3">
                  <c:v>2</c:v>
                </c:pt>
                <c:pt idx="5">
                  <c:v>2</c:v>
                </c:pt>
                <c:pt idx="6">
                  <c:v>4</c:v>
                </c:pt>
                <c:pt idx="7">
                  <c:v>2</c:v>
                </c:pt>
                <c:pt idx="8">
                  <c:v>5</c:v>
                </c:pt>
                <c:pt idx="9">
                  <c:v>5</c:v>
                </c:pt>
              </c:numCache>
            </c:numRef>
          </c:val>
          <c:extLst>
            <c:ext xmlns:c16="http://schemas.microsoft.com/office/drawing/2014/chart" uri="{C3380CC4-5D6E-409C-BE32-E72D297353CC}">
              <c16:uniqueId val="{00000003-9370-4989-9646-D451154A495E}"/>
            </c:ext>
          </c:extLst>
        </c:ser>
        <c:ser>
          <c:idx val="4"/>
          <c:order val="4"/>
          <c:tx>
            <c:strRef>
              <c:f>'Operation by operation type-EDA'!$F$3:$F$4</c:f>
              <c:strCache>
                <c:ptCount val="1"/>
                <c:pt idx="0">
                  <c:v>None</c:v>
                </c:pt>
              </c:strCache>
            </c:strRef>
          </c:tx>
          <c:spPr>
            <a:solidFill>
              <a:schemeClr val="accent5"/>
            </a:solidFill>
            <a:ln>
              <a:noFill/>
            </a:ln>
            <a:effectLst/>
          </c:spPr>
          <c:invertIfNegative val="0"/>
          <c:cat>
            <c:strRef>
              <c:f>'Operation by operation type-EDA'!$A$5:$A$15</c:f>
              <c:strCache>
                <c:ptCount val="10"/>
                <c:pt idx="0">
                  <c:v>B Bryant</c:v>
                </c:pt>
                <c:pt idx="1">
                  <c:v>C Cheung</c:v>
                </c:pt>
                <c:pt idx="2">
                  <c:v>C Shasikaran</c:v>
                </c:pt>
                <c:pt idx="3">
                  <c:v>E Ellingson</c:v>
                </c:pt>
                <c:pt idx="4">
                  <c:v>F Randle</c:v>
                </c:pt>
                <c:pt idx="5">
                  <c:v>G Guy</c:v>
                </c:pt>
                <c:pt idx="6">
                  <c:v>H Hodgson</c:v>
                </c:pt>
                <c:pt idx="7">
                  <c:v>I Ibbotson</c:v>
                </c:pt>
                <c:pt idx="8">
                  <c:v>K Doran </c:v>
                </c:pt>
                <c:pt idx="9">
                  <c:v>S Scully</c:v>
                </c:pt>
              </c:strCache>
            </c:strRef>
          </c:cat>
          <c:val>
            <c:numRef>
              <c:f>'Operation by operation type-EDA'!$F$5:$F$15</c:f>
              <c:numCache>
                <c:formatCode>General</c:formatCode>
                <c:ptCount val="10"/>
                <c:pt idx="0">
                  <c:v>1</c:v>
                </c:pt>
                <c:pt idx="7">
                  <c:v>1</c:v>
                </c:pt>
                <c:pt idx="9">
                  <c:v>1</c:v>
                </c:pt>
              </c:numCache>
            </c:numRef>
          </c:val>
          <c:extLst>
            <c:ext xmlns:c16="http://schemas.microsoft.com/office/drawing/2014/chart" uri="{C3380CC4-5D6E-409C-BE32-E72D297353CC}">
              <c16:uniqueId val="{00000004-9370-4989-9646-D451154A495E}"/>
            </c:ext>
          </c:extLst>
        </c:ser>
        <c:ser>
          <c:idx val="5"/>
          <c:order val="5"/>
          <c:tx>
            <c:strRef>
              <c:f>'Operation by operation type-EDA'!$G$3:$G$4</c:f>
              <c:strCache>
                <c:ptCount val="1"/>
                <c:pt idx="0">
                  <c:v>Other</c:v>
                </c:pt>
              </c:strCache>
            </c:strRef>
          </c:tx>
          <c:spPr>
            <a:solidFill>
              <a:schemeClr val="accent6"/>
            </a:solidFill>
            <a:ln>
              <a:noFill/>
            </a:ln>
            <a:effectLst/>
          </c:spPr>
          <c:invertIfNegative val="0"/>
          <c:cat>
            <c:strRef>
              <c:f>'Operation by operation type-EDA'!$A$5:$A$15</c:f>
              <c:strCache>
                <c:ptCount val="10"/>
                <c:pt idx="0">
                  <c:v>B Bryant</c:v>
                </c:pt>
                <c:pt idx="1">
                  <c:v>C Cheung</c:v>
                </c:pt>
                <c:pt idx="2">
                  <c:v>C Shasikaran</c:v>
                </c:pt>
                <c:pt idx="3">
                  <c:v>E Ellingson</c:v>
                </c:pt>
                <c:pt idx="4">
                  <c:v>F Randle</c:v>
                </c:pt>
                <c:pt idx="5">
                  <c:v>G Guy</c:v>
                </c:pt>
                <c:pt idx="6">
                  <c:v>H Hodgson</c:v>
                </c:pt>
                <c:pt idx="7">
                  <c:v>I Ibbotson</c:v>
                </c:pt>
                <c:pt idx="8">
                  <c:v>K Doran </c:v>
                </c:pt>
                <c:pt idx="9">
                  <c:v>S Scully</c:v>
                </c:pt>
              </c:strCache>
            </c:strRef>
          </c:cat>
          <c:val>
            <c:numRef>
              <c:f>'Operation by operation type-EDA'!$G$5:$G$15</c:f>
              <c:numCache>
                <c:formatCode>General</c:formatCode>
                <c:ptCount val="10"/>
                <c:pt idx="2">
                  <c:v>1</c:v>
                </c:pt>
                <c:pt idx="3">
                  <c:v>1</c:v>
                </c:pt>
              </c:numCache>
            </c:numRef>
          </c:val>
          <c:extLst>
            <c:ext xmlns:c16="http://schemas.microsoft.com/office/drawing/2014/chart" uri="{C3380CC4-5D6E-409C-BE32-E72D297353CC}">
              <c16:uniqueId val="{00000005-9370-4989-9646-D451154A495E}"/>
            </c:ext>
          </c:extLst>
        </c:ser>
        <c:ser>
          <c:idx val="6"/>
          <c:order val="6"/>
          <c:tx>
            <c:strRef>
              <c:f>'Operation by operation type-EDA'!$H$3:$H$4</c:f>
              <c:strCache>
                <c:ptCount val="1"/>
                <c:pt idx="0">
                  <c:v>Valve</c:v>
                </c:pt>
              </c:strCache>
            </c:strRef>
          </c:tx>
          <c:spPr>
            <a:solidFill>
              <a:schemeClr val="accent1">
                <a:lumMod val="60000"/>
              </a:schemeClr>
            </a:solidFill>
            <a:ln>
              <a:noFill/>
            </a:ln>
            <a:effectLst/>
          </c:spPr>
          <c:invertIfNegative val="0"/>
          <c:cat>
            <c:strRef>
              <c:f>'Operation by operation type-EDA'!$A$5:$A$15</c:f>
              <c:strCache>
                <c:ptCount val="10"/>
                <c:pt idx="0">
                  <c:v>B Bryant</c:v>
                </c:pt>
                <c:pt idx="1">
                  <c:v>C Cheung</c:v>
                </c:pt>
                <c:pt idx="2">
                  <c:v>C Shasikaran</c:v>
                </c:pt>
                <c:pt idx="3">
                  <c:v>E Ellingson</c:v>
                </c:pt>
                <c:pt idx="4">
                  <c:v>F Randle</c:v>
                </c:pt>
                <c:pt idx="5">
                  <c:v>G Guy</c:v>
                </c:pt>
                <c:pt idx="6">
                  <c:v>H Hodgson</c:v>
                </c:pt>
                <c:pt idx="7">
                  <c:v>I Ibbotson</c:v>
                </c:pt>
                <c:pt idx="8">
                  <c:v>K Doran </c:v>
                </c:pt>
                <c:pt idx="9">
                  <c:v>S Scully</c:v>
                </c:pt>
              </c:strCache>
            </c:strRef>
          </c:cat>
          <c:val>
            <c:numRef>
              <c:f>'Operation by operation type-EDA'!$H$5:$H$15</c:f>
              <c:numCache>
                <c:formatCode>General</c:formatCode>
                <c:ptCount val="10"/>
                <c:pt idx="0">
                  <c:v>27</c:v>
                </c:pt>
                <c:pt idx="1">
                  <c:v>22</c:v>
                </c:pt>
                <c:pt idx="2">
                  <c:v>44</c:v>
                </c:pt>
                <c:pt idx="3">
                  <c:v>33</c:v>
                </c:pt>
                <c:pt idx="4">
                  <c:v>103</c:v>
                </c:pt>
                <c:pt idx="5">
                  <c:v>18</c:v>
                </c:pt>
                <c:pt idx="6">
                  <c:v>26</c:v>
                </c:pt>
                <c:pt idx="7">
                  <c:v>65</c:v>
                </c:pt>
                <c:pt idx="8">
                  <c:v>42</c:v>
                </c:pt>
                <c:pt idx="9">
                  <c:v>23</c:v>
                </c:pt>
              </c:numCache>
            </c:numRef>
          </c:val>
          <c:extLst>
            <c:ext xmlns:c16="http://schemas.microsoft.com/office/drawing/2014/chart" uri="{C3380CC4-5D6E-409C-BE32-E72D297353CC}">
              <c16:uniqueId val="{00000006-9370-4989-9646-D451154A495E}"/>
            </c:ext>
          </c:extLst>
        </c:ser>
        <c:dLbls>
          <c:showLegendKey val="0"/>
          <c:showVal val="0"/>
          <c:showCatName val="0"/>
          <c:showSerName val="0"/>
          <c:showPercent val="0"/>
          <c:showBubbleSize val="0"/>
        </c:dLbls>
        <c:gapWidth val="182"/>
        <c:axId val="725880191"/>
        <c:axId val="725883071"/>
      </c:barChart>
      <c:catAx>
        <c:axId val="725880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883071"/>
        <c:crosses val="autoZero"/>
        <c:auto val="1"/>
        <c:lblAlgn val="ctr"/>
        <c:lblOffset val="100"/>
        <c:noMultiLvlLbl val="0"/>
      </c:catAx>
      <c:valAx>
        <c:axId val="7258830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880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[Cardiac Surgery &amp; Mortality Risk Analysis.xlsx]Actual&amp;Predicted mortality(EDA)!PivotTable9</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'Actual&amp;Predicted mortality(EDA)'!$B$3:$B$4</c:f>
              <c:strCache>
                <c:ptCount val="1"/>
                <c:pt idx="0">
                  <c:v>Alive</c:v>
                </c:pt>
              </c:strCache>
            </c:strRef>
          </c:tx>
          <c:spPr>
            <a:solidFill>
              <a:schemeClr val="accent1"/>
            </a:solidFill>
            <a:ln>
              <a:noFill/>
            </a:ln>
            <a:effectLst/>
            <a:sp3d/>
          </c:spPr>
          <c:invertIfNegative val="0"/>
          <c:cat>
            <c:strRef>
              <c:f>'Actual&amp;Predicted mortality(EDA)'!$A$5:$A$22</c:f>
              <c:strCache>
                <c:ptCount val="17"/>
                <c:pt idx="0">
                  <c:v>A Abbott</c:v>
                </c:pt>
                <c:pt idx="1">
                  <c:v>B Bryant</c:v>
                </c:pt>
                <c:pt idx="2">
                  <c:v>C Cheung</c:v>
                </c:pt>
                <c:pt idx="3">
                  <c:v>C Cuthbert</c:v>
                </c:pt>
                <c:pt idx="4">
                  <c:v>C Shasikaran</c:v>
                </c:pt>
                <c:pt idx="5">
                  <c:v>E Ellingson</c:v>
                </c:pt>
                <c:pt idx="6">
                  <c:v>F Randle</c:v>
                </c:pt>
                <c:pt idx="7">
                  <c:v>G Guy</c:v>
                </c:pt>
                <c:pt idx="8">
                  <c:v>H Hodgson</c:v>
                </c:pt>
                <c:pt idx="9">
                  <c:v>I Ibbotson</c:v>
                </c:pt>
                <c:pt idx="10">
                  <c:v>K Doran </c:v>
                </c:pt>
                <c:pt idx="11">
                  <c:v>L LeBlanc</c:v>
                </c:pt>
                <c:pt idx="12">
                  <c:v>L Shepard</c:v>
                </c:pt>
                <c:pt idx="13">
                  <c:v>Multiple Surgeon Team</c:v>
                </c:pt>
                <c:pt idx="14">
                  <c:v>R Rubiella</c:v>
                </c:pt>
                <c:pt idx="15">
                  <c:v>S Scully</c:v>
                </c:pt>
                <c:pt idx="16">
                  <c:v>W Wilkening</c:v>
                </c:pt>
              </c:strCache>
            </c:strRef>
          </c:cat>
          <c:val>
            <c:numRef>
              <c:f>'Actual&amp;Predicted mortality(EDA)'!$B$5:$B$22</c:f>
              <c:numCache>
                <c:formatCode>General</c:formatCode>
                <c:ptCount val="17"/>
                <c:pt idx="0">
                  <c:v>18</c:v>
                </c:pt>
                <c:pt idx="1">
                  <c:v>84</c:v>
                </c:pt>
                <c:pt idx="2">
                  <c:v>105</c:v>
                </c:pt>
                <c:pt idx="3">
                  <c:v>25</c:v>
                </c:pt>
                <c:pt idx="4">
                  <c:v>89</c:v>
                </c:pt>
                <c:pt idx="5">
                  <c:v>154</c:v>
                </c:pt>
                <c:pt idx="6">
                  <c:v>123</c:v>
                </c:pt>
                <c:pt idx="7">
                  <c:v>76</c:v>
                </c:pt>
                <c:pt idx="8">
                  <c:v>155</c:v>
                </c:pt>
                <c:pt idx="9">
                  <c:v>92</c:v>
                </c:pt>
                <c:pt idx="10">
                  <c:v>99</c:v>
                </c:pt>
                <c:pt idx="11">
                  <c:v>12</c:v>
                </c:pt>
                <c:pt idx="12">
                  <c:v>20</c:v>
                </c:pt>
                <c:pt idx="13">
                  <c:v>1</c:v>
                </c:pt>
                <c:pt idx="14">
                  <c:v>58</c:v>
                </c:pt>
                <c:pt idx="15">
                  <c:v>104</c:v>
                </c:pt>
                <c:pt idx="16">
                  <c:v>73</c:v>
                </c:pt>
              </c:numCache>
            </c:numRef>
          </c:val>
          <c:extLst>
            <c:ext xmlns:c16="http://schemas.microsoft.com/office/drawing/2014/chart" uri="{C3380CC4-5D6E-409C-BE32-E72D297353CC}">
              <c16:uniqueId val="{00000000-AFEE-450C-8E7B-1984F36A13C9}"/>
            </c:ext>
          </c:extLst>
        </c:ser>
        <c:ser>
          <c:idx val="1"/>
          <c:order val="1"/>
          <c:tx>
            <c:strRef>
              <c:f>'Actual&amp;Predicted mortality(EDA)'!$C$3:$C$4</c:f>
              <c:strCache>
                <c:ptCount val="1"/>
                <c:pt idx="0">
                  <c:v>Died</c:v>
                </c:pt>
              </c:strCache>
            </c:strRef>
          </c:tx>
          <c:spPr>
            <a:solidFill>
              <a:schemeClr val="accent2"/>
            </a:solidFill>
            <a:ln>
              <a:noFill/>
            </a:ln>
            <a:effectLst/>
            <a:sp3d/>
          </c:spPr>
          <c:invertIfNegative val="0"/>
          <c:cat>
            <c:strRef>
              <c:f>'Actual&amp;Predicted mortality(EDA)'!$A$5:$A$22</c:f>
              <c:strCache>
                <c:ptCount val="17"/>
                <c:pt idx="0">
                  <c:v>A Abbott</c:v>
                </c:pt>
                <c:pt idx="1">
                  <c:v>B Bryant</c:v>
                </c:pt>
                <c:pt idx="2">
                  <c:v>C Cheung</c:v>
                </c:pt>
                <c:pt idx="3">
                  <c:v>C Cuthbert</c:v>
                </c:pt>
                <c:pt idx="4">
                  <c:v>C Shasikaran</c:v>
                </c:pt>
                <c:pt idx="5">
                  <c:v>E Ellingson</c:v>
                </c:pt>
                <c:pt idx="6">
                  <c:v>F Randle</c:v>
                </c:pt>
                <c:pt idx="7">
                  <c:v>G Guy</c:v>
                </c:pt>
                <c:pt idx="8">
                  <c:v>H Hodgson</c:v>
                </c:pt>
                <c:pt idx="9">
                  <c:v>I Ibbotson</c:v>
                </c:pt>
                <c:pt idx="10">
                  <c:v>K Doran </c:v>
                </c:pt>
                <c:pt idx="11">
                  <c:v>L LeBlanc</c:v>
                </c:pt>
                <c:pt idx="12">
                  <c:v>L Shepard</c:v>
                </c:pt>
                <c:pt idx="13">
                  <c:v>Multiple Surgeon Team</c:v>
                </c:pt>
                <c:pt idx="14">
                  <c:v>R Rubiella</c:v>
                </c:pt>
                <c:pt idx="15">
                  <c:v>S Scully</c:v>
                </c:pt>
                <c:pt idx="16">
                  <c:v>W Wilkening</c:v>
                </c:pt>
              </c:strCache>
            </c:strRef>
          </c:cat>
          <c:val>
            <c:numRef>
              <c:f>'Actual&amp;Predicted mortality(EDA)'!$C$5:$C$22</c:f>
              <c:numCache>
                <c:formatCode>General</c:formatCode>
                <c:ptCount val="17"/>
                <c:pt idx="1">
                  <c:v>4</c:v>
                </c:pt>
                <c:pt idx="2">
                  <c:v>2</c:v>
                </c:pt>
                <c:pt idx="3">
                  <c:v>3</c:v>
                </c:pt>
                <c:pt idx="4">
                  <c:v>4</c:v>
                </c:pt>
                <c:pt idx="5">
                  <c:v>3</c:v>
                </c:pt>
                <c:pt idx="6">
                  <c:v>2</c:v>
                </c:pt>
                <c:pt idx="7">
                  <c:v>3</c:v>
                </c:pt>
                <c:pt idx="8">
                  <c:v>4</c:v>
                </c:pt>
                <c:pt idx="9">
                  <c:v>4</c:v>
                </c:pt>
                <c:pt idx="10">
                  <c:v>4</c:v>
                </c:pt>
                <c:pt idx="13">
                  <c:v>3</c:v>
                </c:pt>
                <c:pt idx="14">
                  <c:v>1</c:v>
                </c:pt>
                <c:pt idx="15">
                  <c:v>5</c:v>
                </c:pt>
                <c:pt idx="16">
                  <c:v>2</c:v>
                </c:pt>
              </c:numCache>
            </c:numRef>
          </c:val>
          <c:extLst>
            <c:ext xmlns:c16="http://schemas.microsoft.com/office/drawing/2014/chart" uri="{C3380CC4-5D6E-409C-BE32-E72D297353CC}">
              <c16:uniqueId val="{00000005-AFEE-450C-8E7B-1984F36A13C9}"/>
            </c:ext>
          </c:extLst>
        </c:ser>
        <c:ser>
          <c:idx val="2"/>
          <c:order val="2"/>
          <c:tx>
            <c:strRef>
              <c:f>'Actual&amp;Predicted mortality(EDA)'!$D$3:$D$4</c:f>
              <c:strCache>
                <c:ptCount val="1"/>
                <c:pt idx="0">
                  <c:v>Unknown</c:v>
                </c:pt>
              </c:strCache>
            </c:strRef>
          </c:tx>
          <c:spPr>
            <a:solidFill>
              <a:schemeClr val="accent3"/>
            </a:solidFill>
            <a:ln>
              <a:noFill/>
            </a:ln>
            <a:effectLst/>
            <a:sp3d/>
          </c:spPr>
          <c:invertIfNegative val="0"/>
          <c:cat>
            <c:strRef>
              <c:f>'Actual&amp;Predicted mortality(EDA)'!$A$5:$A$22</c:f>
              <c:strCache>
                <c:ptCount val="17"/>
                <c:pt idx="0">
                  <c:v>A Abbott</c:v>
                </c:pt>
                <c:pt idx="1">
                  <c:v>B Bryant</c:v>
                </c:pt>
                <c:pt idx="2">
                  <c:v>C Cheung</c:v>
                </c:pt>
                <c:pt idx="3">
                  <c:v>C Cuthbert</c:v>
                </c:pt>
                <c:pt idx="4">
                  <c:v>C Shasikaran</c:v>
                </c:pt>
                <c:pt idx="5">
                  <c:v>E Ellingson</c:v>
                </c:pt>
                <c:pt idx="6">
                  <c:v>F Randle</c:v>
                </c:pt>
                <c:pt idx="7">
                  <c:v>G Guy</c:v>
                </c:pt>
                <c:pt idx="8">
                  <c:v>H Hodgson</c:v>
                </c:pt>
                <c:pt idx="9">
                  <c:v>I Ibbotson</c:v>
                </c:pt>
                <c:pt idx="10">
                  <c:v>K Doran </c:v>
                </c:pt>
                <c:pt idx="11">
                  <c:v>L LeBlanc</c:v>
                </c:pt>
                <c:pt idx="12">
                  <c:v>L Shepard</c:v>
                </c:pt>
                <c:pt idx="13">
                  <c:v>Multiple Surgeon Team</c:v>
                </c:pt>
                <c:pt idx="14">
                  <c:v>R Rubiella</c:v>
                </c:pt>
                <c:pt idx="15">
                  <c:v>S Scully</c:v>
                </c:pt>
                <c:pt idx="16">
                  <c:v>W Wilkening</c:v>
                </c:pt>
              </c:strCache>
            </c:strRef>
          </c:cat>
          <c:val>
            <c:numRef>
              <c:f>'Actual&amp;Predicted mortality(EDA)'!$D$5:$D$22</c:f>
              <c:numCache>
                <c:formatCode>General</c:formatCode>
                <c:ptCount val="17"/>
                <c:pt idx="4">
                  <c:v>1</c:v>
                </c:pt>
                <c:pt idx="6">
                  <c:v>1</c:v>
                </c:pt>
                <c:pt idx="15">
                  <c:v>1</c:v>
                </c:pt>
              </c:numCache>
            </c:numRef>
          </c:val>
          <c:extLst>
            <c:ext xmlns:c16="http://schemas.microsoft.com/office/drawing/2014/chart" uri="{C3380CC4-5D6E-409C-BE32-E72D297353CC}">
              <c16:uniqueId val="{00000006-AFEE-450C-8E7B-1984F36A13C9}"/>
            </c:ext>
          </c:extLst>
        </c:ser>
        <c:dLbls>
          <c:showLegendKey val="0"/>
          <c:showVal val="0"/>
          <c:showCatName val="0"/>
          <c:showSerName val="0"/>
          <c:showPercent val="0"/>
          <c:showBubbleSize val="0"/>
        </c:dLbls>
        <c:gapWidth val="150"/>
        <c:shape val="box"/>
        <c:axId val="757072671"/>
        <c:axId val="757074591"/>
        <c:axId val="0"/>
      </c:bar3DChart>
      <c:catAx>
        <c:axId val="7570726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074591"/>
        <c:crosses val="autoZero"/>
        <c:auto val="1"/>
        <c:lblAlgn val="ctr"/>
        <c:lblOffset val="100"/>
        <c:noMultiLvlLbl val="0"/>
      </c:catAx>
      <c:valAx>
        <c:axId val="757074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072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[Cardiac Surgery &amp; Mortality Risk Analysis.xlsx]Actual&amp;Predicted mortality(EDA)!PivotTable10</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'Actual&amp;Predicted mortality(EDA)'!$B$32</c:f>
              <c:strCache>
                <c:ptCount val="1"/>
                <c:pt idx="0">
                  <c:v>Average of Risk of Death % (Model 1)</c:v>
                </c:pt>
              </c:strCache>
            </c:strRef>
          </c:tx>
          <c:spPr>
            <a:ln w="28575" cap="rnd">
              <a:solidFill>
                <a:schemeClr val="accent1"/>
              </a:solidFill>
              <a:round/>
            </a:ln>
            <a:effectLst/>
          </c:spPr>
          <c:marker>
            <c:symbol val="none"/>
          </c:marker>
          <c:cat>
            <c:strRef>
              <c:f>'Actual&amp;Predicted mortality(EDA)'!$A$33:$A$50</c:f>
              <c:strCache>
                <c:ptCount val="17"/>
                <c:pt idx="0">
                  <c:v>A Abbott</c:v>
                </c:pt>
                <c:pt idx="1">
                  <c:v>B Bryant</c:v>
                </c:pt>
                <c:pt idx="2">
                  <c:v>C Cheung</c:v>
                </c:pt>
                <c:pt idx="3">
                  <c:v>C Cuthbert</c:v>
                </c:pt>
                <c:pt idx="4">
                  <c:v>C Shasikaran</c:v>
                </c:pt>
                <c:pt idx="5">
                  <c:v>E Ellingson</c:v>
                </c:pt>
                <c:pt idx="6">
                  <c:v>F Randle</c:v>
                </c:pt>
                <c:pt idx="7">
                  <c:v>G Guy</c:v>
                </c:pt>
                <c:pt idx="8">
                  <c:v>H Hodgson</c:v>
                </c:pt>
                <c:pt idx="9">
                  <c:v>I Ibbotson</c:v>
                </c:pt>
                <c:pt idx="10">
                  <c:v>K Doran </c:v>
                </c:pt>
                <c:pt idx="11">
                  <c:v>L LeBlanc</c:v>
                </c:pt>
                <c:pt idx="12">
                  <c:v>L Shepard</c:v>
                </c:pt>
                <c:pt idx="13">
                  <c:v>Multiple Surgeon Team</c:v>
                </c:pt>
                <c:pt idx="14">
                  <c:v>R Rubiella</c:v>
                </c:pt>
                <c:pt idx="15">
                  <c:v>S Scully</c:v>
                </c:pt>
                <c:pt idx="16">
                  <c:v>W Wilkening</c:v>
                </c:pt>
              </c:strCache>
            </c:strRef>
          </c:cat>
          <c:val>
            <c:numRef>
              <c:f>'Actual&amp;Predicted mortality(EDA)'!$B$33:$B$50</c:f>
              <c:numCache>
                <c:formatCode>0.00</c:formatCode>
                <c:ptCount val="17"/>
                <c:pt idx="0">
                  <c:v>6.9138888888888888</c:v>
                </c:pt>
                <c:pt idx="1">
                  <c:v>7.5112500000000004</c:v>
                </c:pt>
                <c:pt idx="2">
                  <c:v>7.0729906542056087</c:v>
                </c:pt>
                <c:pt idx="3">
                  <c:v>11.512499999999999</c:v>
                </c:pt>
                <c:pt idx="4">
                  <c:v>10.951808510638301</c:v>
                </c:pt>
                <c:pt idx="5">
                  <c:v>9.7776433121019082</c:v>
                </c:pt>
                <c:pt idx="6">
                  <c:v>6.0993650793650787</c:v>
                </c:pt>
                <c:pt idx="7">
                  <c:v>6.1508860759493658</c:v>
                </c:pt>
                <c:pt idx="8">
                  <c:v>8.264339622641506</c:v>
                </c:pt>
                <c:pt idx="9">
                  <c:v>9.5862500000000015</c:v>
                </c:pt>
                <c:pt idx="10">
                  <c:v>8.3058252427184485</c:v>
                </c:pt>
                <c:pt idx="11">
                  <c:v>7.4816666666666665</c:v>
                </c:pt>
                <c:pt idx="12">
                  <c:v>5.8375000000000004</c:v>
                </c:pt>
                <c:pt idx="13">
                  <c:v>22.509999999999998</c:v>
                </c:pt>
                <c:pt idx="14">
                  <c:v>6.1155932203389831</c:v>
                </c:pt>
                <c:pt idx="15">
                  <c:v>10.266727272727277</c:v>
                </c:pt>
                <c:pt idx="16">
                  <c:v>7.8091999999999988</c:v>
                </c:pt>
              </c:numCache>
            </c:numRef>
          </c:val>
          <c:smooth val="0"/>
          <c:extLst>
            <c:ext xmlns:c16="http://schemas.microsoft.com/office/drawing/2014/chart" uri="{C3380CC4-5D6E-409C-BE32-E72D297353CC}">
              <c16:uniqueId val="{00000000-7919-40AC-B55C-A69CA460237C}"/>
            </c:ext>
          </c:extLst>
        </c:ser>
        <c:ser>
          <c:idx val="1"/>
          <c:order val="1"/>
          <c:tx>
            <c:strRef>
              <c:f>'Actual&amp;Predicted mortality(EDA)'!$C$32</c:f>
              <c:strCache>
                <c:ptCount val="1"/>
                <c:pt idx="0">
                  <c:v>Average of Risk of Death % (Model 2)</c:v>
                </c:pt>
              </c:strCache>
            </c:strRef>
          </c:tx>
          <c:spPr>
            <a:ln w="28575" cap="rnd">
              <a:solidFill>
                <a:schemeClr val="accent2"/>
              </a:solidFill>
              <a:round/>
            </a:ln>
            <a:effectLst/>
          </c:spPr>
          <c:marker>
            <c:symbol val="none"/>
          </c:marker>
          <c:cat>
            <c:strRef>
              <c:f>'Actual&amp;Predicted mortality(EDA)'!$A$33:$A$50</c:f>
              <c:strCache>
                <c:ptCount val="17"/>
                <c:pt idx="0">
                  <c:v>A Abbott</c:v>
                </c:pt>
                <c:pt idx="1">
                  <c:v>B Bryant</c:v>
                </c:pt>
                <c:pt idx="2">
                  <c:v>C Cheung</c:v>
                </c:pt>
                <c:pt idx="3">
                  <c:v>C Cuthbert</c:v>
                </c:pt>
                <c:pt idx="4">
                  <c:v>C Shasikaran</c:v>
                </c:pt>
                <c:pt idx="5">
                  <c:v>E Ellingson</c:v>
                </c:pt>
                <c:pt idx="6">
                  <c:v>F Randle</c:v>
                </c:pt>
                <c:pt idx="7">
                  <c:v>G Guy</c:v>
                </c:pt>
                <c:pt idx="8">
                  <c:v>H Hodgson</c:v>
                </c:pt>
                <c:pt idx="9">
                  <c:v>I Ibbotson</c:v>
                </c:pt>
                <c:pt idx="10">
                  <c:v>K Doran </c:v>
                </c:pt>
                <c:pt idx="11">
                  <c:v>L LeBlanc</c:v>
                </c:pt>
                <c:pt idx="12">
                  <c:v>L Shepard</c:v>
                </c:pt>
                <c:pt idx="13">
                  <c:v>Multiple Surgeon Team</c:v>
                </c:pt>
                <c:pt idx="14">
                  <c:v>R Rubiella</c:v>
                </c:pt>
                <c:pt idx="15">
                  <c:v>S Scully</c:v>
                </c:pt>
                <c:pt idx="16">
                  <c:v>W Wilkening</c:v>
                </c:pt>
              </c:strCache>
            </c:strRef>
          </c:cat>
          <c:val>
            <c:numRef>
              <c:f>'Actual&amp;Predicted mortality(EDA)'!$C$33:$C$50</c:f>
              <c:numCache>
                <c:formatCode>0.00</c:formatCode>
                <c:ptCount val="17"/>
                <c:pt idx="0">
                  <c:v>3.2166666666666668</c:v>
                </c:pt>
                <c:pt idx="1">
                  <c:v>3.2899999999999987</c:v>
                </c:pt>
                <c:pt idx="2">
                  <c:v>3.4012149532710287</c:v>
                </c:pt>
                <c:pt idx="3">
                  <c:v>5.4367857142857146</c:v>
                </c:pt>
                <c:pt idx="4">
                  <c:v>5.3194680851063847</c:v>
                </c:pt>
                <c:pt idx="5">
                  <c:v>3.7668152866242028</c:v>
                </c:pt>
                <c:pt idx="6">
                  <c:v>2.65031746031746</c:v>
                </c:pt>
                <c:pt idx="7">
                  <c:v>3.7730379746835463</c:v>
                </c:pt>
                <c:pt idx="8">
                  <c:v>3.7606289308176097</c:v>
                </c:pt>
                <c:pt idx="9">
                  <c:v>4.5602083333333328</c:v>
                </c:pt>
                <c:pt idx="10">
                  <c:v>4.4944660194174757</c:v>
                </c:pt>
                <c:pt idx="11">
                  <c:v>1.9791666666666667</c:v>
                </c:pt>
                <c:pt idx="12">
                  <c:v>1.988</c:v>
                </c:pt>
                <c:pt idx="13">
                  <c:v>19.8825</c:v>
                </c:pt>
                <c:pt idx="14">
                  <c:v>2.5328813559322039</c:v>
                </c:pt>
                <c:pt idx="15">
                  <c:v>4.7346363636363655</c:v>
                </c:pt>
                <c:pt idx="16">
                  <c:v>3.8718666666666675</c:v>
                </c:pt>
              </c:numCache>
            </c:numRef>
          </c:val>
          <c:smooth val="0"/>
          <c:extLst>
            <c:ext xmlns:c16="http://schemas.microsoft.com/office/drawing/2014/chart" uri="{C3380CC4-5D6E-409C-BE32-E72D297353CC}">
              <c16:uniqueId val="{00000001-7919-40AC-B55C-A69CA460237C}"/>
            </c:ext>
          </c:extLst>
        </c:ser>
        <c:dLbls>
          <c:showLegendKey val="0"/>
          <c:showVal val="0"/>
          <c:showCatName val="0"/>
          <c:showSerName val="0"/>
          <c:showPercent val="0"/>
          <c:showBubbleSize val="0"/>
        </c:dLbls>
        <c:smooth val="0"/>
        <c:axId val="655675263"/>
        <c:axId val="655677183"/>
      </c:lineChart>
      <c:catAx>
        <c:axId val="655675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677183"/>
        <c:crosses val="autoZero"/>
        <c:auto val="1"/>
        <c:lblAlgn val="ctr"/>
        <c:lblOffset val="100"/>
        <c:noMultiLvlLbl val="0"/>
      </c:catAx>
      <c:valAx>
        <c:axId val="65567718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675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[Cardiac Surgery &amp; Mortality Risk Analysis.xlsx]Actual&amp;Predicted mortality(EDA)!PivotTable9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Patient</a:t>
            </a:r>
            <a:r>
              <a:rPr lang="en-US" baseline="0"/>
              <a:t> outcomt at discharge by Surgeon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'Actual&amp;Predicted mortality(EDA)'!$B$3:$B$4</c:f>
              <c:strCache>
                <c:ptCount val="1"/>
                <c:pt idx="0">
                  <c:v>Alive</c:v>
                </c:pt>
              </c:strCache>
            </c:strRef>
          </c:tx>
          <c:spPr>
            <a:solidFill>
              <a:schemeClr val="accent1"/>
            </a:solidFill>
            <a:ln>
              <a:noFill/>
            </a:ln>
            <a:effectLst/>
            <a:sp3d/>
          </c:spPr>
          <c:invertIfNegative val="0"/>
          <c:cat>
            <c:strRef>
              <c:f>'Actual&amp;Predicted mortality(EDA)'!$A$5:$A$22</c:f>
              <c:strCache>
                <c:ptCount val="17"/>
                <c:pt idx="0">
                  <c:v>A Abbott</c:v>
                </c:pt>
                <c:pt idx="1">
                  <c:v>B Bryant</c:v>
                </c:pt>
                <c:pt idx="2">
                  <c:v>C Cheung</c:v>
                </c:pt>
                <c:pt idx="3">
                  <c:v>C Cuthbert</c:v>
                </c:pt>
                <c:pt idx="4">
                  <c:v>C Shasikaran</c:v>
                </c:pt>
                <c:pt idx="5">
                  <c:v>E Ellingson</c:v>
                </c:pt>
                <c:pt idx="6">
                  <c:v>F Randle</c:v>
                </c:pt>
                <c:pt idx="7">
                  <c:v>G Guy</c:v>
                </c:pt>
                <c:pt idx="8">
                  <c:v>H Hodgson</c:v>
                </c:pt>
                <c:pt idx="9">
                  <c:v>I Ibbotson</c:v>
                </c:pt>
                <c:pt idx="10">
                  <c:v>K Doran </c:v>
                </c:pt>
                <c:pt idx="11">
                  <c:v>L LeBlanc</c:v>
                </c:pt>
                <c:pt idx="12">
                  <c:v>L Shepard</c:v>
                </c:pt>
                <c:pt idx="13">
                  <c:v>Multiple Surgeon Team</c:v>
                </c:pt>
                <c:pt idx="14">
                  <c:v>R Rubiella</c:v>
                </c:pt>
                <c:pt idx="15">
                  <c:v>S Scully</c:v>
                </c:pt>
                <c:pt idx="16">
                  <c:v>W Wilkening</c:v>
                </c:pt>
              </c:strCache>
            </c:strRef>
          </c:cat>
          <c:val>
            <c:numRef>
              <c:f>'Actual&amp;Predicted mortality(EDA)'!$B$5:$B$22</c:f>
              <c:numCache>
                <c:formatCode>General</c:formatCode>
                <c:ptCount val="17"/>
                <c:pt idx="0">
                  <c:v>18</c:v>
                </c:pt>
                <c:pt idx="1">
                  <c:v>84</c:v>
                </c:pt>
                <c:pt idx="2">
                  <c:v>105</c:v>
                </c:pt>
                <c:pt idx="3">
                  <c:v>25</c:v>
                </c:pt>
                <c:pt idx="4">
                  <c:v>89</c:v>
                </c:pt>
                <c:pt idx="5">
                  <c:v>154</c:v>
                </c:pt>
                <c:pt idx="6">
                  <c:v>123</c:v>
                </c:pt>
                <c:pt idx="7">
                  <c:v>76</c:v>
                </c:pt>
                <c:pt idx="8">
                  <c:v>155</c:v>
                </c:pt>
                <c:pt idx="9">
                  <c:v>92</c:v>
                </c:pt>
                <c:pt idx="10">
                  <c:v>99</c:v>
                </c:pt>
                <c:pt idx="11">
                  <c:v>12</c:v>
                </c:pt>
                <c:pt idx="12">
                  <c:v>20</c:v>
                </c:pt>
                <c:pt idx="13">
                  <c:v>1</c:v>
                </c:pt>
                <c:pt idx="14">
                  <c:v>58</c:v>
                </c:pt>
                <c:pt idx="15">
                  <c:v>104</c:v>
                </c:pt>
                <c:pt idx="16">
                  <c:v>73</c:v>
                </c:pt>
              </c:numCache>
            </c:numRef>
          </c:val>
          <c:extLst>
            <c:ext xmlns:c16="http://schemas.microsoft.com/office/drawing/2014/chart" uri="{C3380CC4-5D6E-409C-BE32-E72D297353CC}">
              <c16:uniqueId val="{00000000-8804-41A7-BFE5-222D692946FC}"/>
            </c:ext>
          </c:extLst>
        </c:ser>
        <c:ser>
          <c:idx val="1"/>
          <c:order val="1"/>
          <c:tx>
            <c:strRef>
              <c:f>'Actual&amp;Predicted mortality(EDA)'!$C$3:$C$4</c:f>
              <c:strCache>
                <c:ptCount val="1"/>
                <c:pt idx="0">
                  <c:v>Died</c:v>
                </c:pt>
              </c:strCache>
            </c:strRef>
          </c:tx>
          <c:spPr>
            <a:solidFill>
              <a:schemeClr val="accent2"/>
            </a:solidFill>
            <a:ln>
              <a:noFill/>
            </a:ln>
            <a:effectLst/>
            <a:sp3d/>
          </c:spPr>
          <c:invertIfNegative val="0"/>
          <c:cat>
            <c:strRef>
              <c:f>'Actual&amp;Predicted mortality(EDA)'!$A$5:$A$22</c:f>
              <c:strCache>
                <c:ptCount val="17"/>
                <c:pt idx="0">
                  <c:v>A Abbott</c:v>
                </c:pt>
                <c:pt idx="1">
                  <c:v>B Bryant</c:v>
                </c:pt>
                <c:pt idx="2">
                  <c:v>C Cheung</c:v>
                </c:pt>
                <c:pt idx="3">
                  <c:v>C Cuthbert</c:v>
                </c:pt>
                <c:pt idx="4">
                  <c:v>C Shasikaran</c:v>
                </c:pt>
                <c:pt idx="5">
                  <c:v>E Ellingson</c:v>
                </c:pt>
                <c:pt idx="6">
                  <c:v>F Randle</c:v>
                </c:pt>
                <c:pt idx="7">
                  <c:v>G Guy</c:v>
                </c:pt>
                <c:pt idx="8">
                  <c:v>H Hodgson</c:v>
                </c:pt>
                <c:pt idx="9">
                  <c:v>I Ibbotson</c:v>
                </c:pt>
                <c:pt idx="10">
                  <c:v>K Doran </c:v>
                </c:pt>
                <c:pt idx="11">
                  <c:v>L LeBlanc</c:v>
                </c:pt>
                <c:pt idx="12">
                  <c:v>L Shepard</c:v>
                </c:pt>
                <c:pt idx="13">
                  <c:v>Multiple Surgeon Team</c:v>
                </c:pt>
                <c:pt idx="14">
                  <c:v>R Rubiella</c:v>
                </c:pt>
                <c:pt idx="15">
                  <c:v>S Scully</c:v>
                </c:pt>
                <c:pt idx="16">
                  <c:v>W Wilkening</c:v>
                </c:pt>
              </c:strCache>
            </c:strRef>
          </c:cat>
          <c:val>
            <c:numRef>
              <c:f>'Actual&amp;Predicted mortality(EDA)'!$C$5:$C$22</c:f>
              <c:numCache>
                <c:formatCode>General</c:formatCode>
                <c:ptCount val="17"/>
                <c:pt idx="1">
                  <c:v>4</c:v>
                </c:pt>
                <c:pt idx="2">
                  <c:v>2</c:v>
                </c:pt>
                <c:pt idx="3">
                  <c:v>3</c:v>
                </c:pt>
                <c:pt idx="4">
                  <c:v>4</c:v>
                </c:pt>
                <c:pt idx="5">
                  <c:v>3</c:v>
                </c:pt>
                <c:pt idx="6">
                  <c:v>2</c:v>
                </c:pt>
                <c:pt idx="7">
                  <c:v>3</c:v>
                </c:pt>
                <c:pt idx="8">
                  <c:v>4</c:v>
                </c:pt>
                <c:pt idx="9">
                  <c:v>4</c:v>
                </c:pt>
                <c:pt idx="10">
                  <c:v>4</c:v>
                </c:pt>
                <c:pt idx="13">
                  <c:v>3</c:v>
                </c:pt>
                <c:pt idx="14">
                  <c:v>1</c:v>
                </c:pt>
                <c:pt idx="15">
                  <c:v>5</c:v>
                </c:pt>
                <c:pt idx="16">
                  <c:v>2</c:v>
                </c:pt>
              </c:numCache>
            </c:numRef>
          </c:val>
          <c:extLst>
            <c:ext xmlns:c16="http://schemas.microsoft.com/office/drawing/2014/chart" uri="{C3380CC4-5D6E-409C-BE32-E72D297353CC}">
              <c16:uniqueId val="{00000005-8804-41A7-BFE5-222D692946FC}"/>
            </c:ext>
          </c:extLst>
        </c:ser>
        <c:ser>
          <c:idx val="2"/>
          <c:order val="2"/>
          <c:tx>
            <c:strRef>
              <c:f>'Actual&amp;Predicted mortality(EDA)'!$D$3:$D$4</c:f>
              <c:strCache>
                <c:ptCount val="1"/>
                <c:pt idx="0">
                  <c:v>Unknown</c:v>
                </c:pt>
              </c:strCache>
            </c:strRef>
          </c:tx>
          <c:spPr>
            <a:solidFill>
              <a:schemeClr val="accent3"/>
            </a:solidFill>
            <a:ln>
              <a:noFill/>
            </a:ln>
            <a:effectLst/>
            <a:sp3d/>
          </c:spPr>
          <c:invertIfNegative val="0"/>
          <c:cat>
            <c:strRef>
              <c:f>'Actual&amp;Predicted mortality(EDA)'!$A$5:$A$22</c:f>
              <c:strCache>
                <c:ptCount val="17"/>
                <c:pt idx="0">
                  <c:v>A Abbott</c:v>
                </c:pt>
                <c:pt idx="1">
                  <c:v>B Bryant</c:v>
                </c:pt>
                <c:pt idx="2">
                  <c:v>C Cheung</c:v>
                </c:pt>
                <c:pt idx="3">
                  <c:v>C Cuthbert</c:v>
                </c:pt>
                <c:pt idx="4">
                  <c:v>C Shasikaran</c:v>
                </c:pt>
                <c:pt idx="5">
                  <c:v>E Ellingson</c:v>
                </c:pt>
                <c:pt idx="6">
                  <c:v>F Randle</c:v>
                </c:pt>
                <c:pt idx="7">
                  <c:v>G Guy</c:v>
                </c:pt>
                <c:pt idx="8">
                  <c:v>H Hodgson</c:v>
                </c:pt>
                <c:pt idx="9">
                  <c:v>I Ibbotson</c:v>
                </c:pt>
                <c:pt idx="10">
                  <c:v>K Doran </c:v>
                </c:pt>
                <c:pt idx="11">
                  <c:v>L LeBlanc</c:v>
                </c:pt>
                <c:pt idx="12">
                  <c:v>L Shepard</c:v>
                </c:pt>
                <c:pt idx="13">
                  <c:v>Multiple Surgeon Team</c:v>
                </c:pt>
                <c:pt idx="14">
                  <c:v>R Rubiella</c:v>
                </c:pt>
                <c:pt idx="15">
                  <c:v>S Scully</c:v>
                </c:pt>
                <c:pt idx="16">
                  <c:v>W Wilkening</c:v>
                </c:pt>
              </c:strCache>
            </c:strRef>
          </c:cat>
          <c:val>
            <c:numRef>
              <c:f>'Actual&amp;Predicted mortality(EDA)'!$D$5:$D$22</c:f>
              <c:numCache>
                <c:formatCode>General</c:formatCode>
                <c:ptCount val="17"/>
                <c:pt idx="4">
                  <c:v>1</c:v>
                </c:pt>
                <c:pt idx="6">
                  <c:v>1</c:v>
                </c:pt>
                <c:pt idx="15">
                  <c:v>1</c:v>
                </c:pt>
              </c:numCache>
            </c:numRef>
          </c:val>
          <c:extLst>
            <c:ext xmlns:c16="http://schemas.microsoft.com/office/drawing/2014/chart" uri="{C3380CC4-5D6E-409C-BE32-E72D297353CC}">
              <c16:uniqueId val="{00000006-8804-41A7-BFE5-222D692946FC}"/>
            </c:ext>
          </c:extLst>
        </c:ser>
        <c:dLbls>
          <c:showLegendKey val="0"/>
          <c:showVal val="0"/>
          <c:showCatName val="0"/>
          <c:showSerName val="0"/>
          <c:showPercent val="0"/>
          <c:showBubbleSize val="0"/>
        </c:dLbls>
        <c:gapWidth val="150"/>
        <c:shape val="box"/>
        <c:axId val="757072671"/>
        <c:axId val="757074591"/>
        <c:axId val="0"/>
      </c:bar3DChart>
      <c:catAx>
        <c:axId val="7570726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074591"/>
        <c:crosses val="autoZero"/>
        <c:auto val="1"/>
        <c:lblAlgn val="ctr"/>
        <c:lblOffset val="100"/>
        <c:noMultiLvlLbl val="0"/>
      </c:catAx>
      <c:valAx>
        <c:axId val="757074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072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[Cardiac Surgery &amp; Mortality Risk Analysis.xlsx]Operation by operation type-EDA!PivotTable8</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62555959583187"/>
          <c:y val="7.3241752307613261E-2"/>
          <c:w val="0.66967070991064459"/>
          <c:h val="0.84952725778055982"/>
        </c:manualLayout>
      </c:layout>
      <c:barChart>
        <c:barDir val="bar"/>
        <c:grouping val="clustered"/>
        <c:varyColors val="0"/>
        <c:ser>
          <c:idx val="0"/>
          <c:order val="0"/>
          <c:tx>
            <c:strRef>
              <c:f>'Operation by operation type-EDA'!$B$3:$B$4</c:f>
              <c:strCache>
                <c:ptCount val="1"/>
                <c:pt idx="0">
                  <c:v>Aorta surgery</c:v>
                </c:pt>
              </c:strCache>
            </c:strRef>
          </c:tx>
          <c:spPr>
            <a:solidFill>
              <a:schemeClr val="accent1"/>
            </a:solidFill>
            <a:ln>
              <a:noFill/>
            </a:ln>
            <a:effectLst/>
          </c:spPr>
          <c:invertIfNegative val="0"/>
          <c:cat>
            <c:strRef>
              <c:f>'Operation by operation type-EDA'!$A$5:$A$15</c:f>
              <c:strCache>
                <c:ptCount val="10"/>
                <c:pt idx="0">
                  <c:v>B Bryant</c:v>
                </c:pt>
                <c:pt idx="1">
                  <c:v>C Cheung</c:v>
                </c:pt>
                <c:pt idx="2">
                  <c:v>C Shasikaran</c:v>
                </c:pt>
                <c:pt idx="3">
                  <c:v>E Ellingson</c:v>
                </c:pt>
                <c:pt idx="4">
                  <c:v>F Randle</c:v>
                </c:pt>
                <c:pt idx="5">
                  <c:v>G Guy</c:v>
                </c:pt>
                <c:pt idx="6">
                  <c:v>H Hodgson</c:v>
                </c:pt>
                <c:pt idx="7">
                  <c:v>I Ibbotson</c:v>
                </c:pt>
                <c:pt idx="8">
                  <c:v>K Doran </c:v>
                </c:pt>
                <c:pt idx="9">
                  <c:v>S Scully</c:v>
                </c:pt>
              </c:strCache>
            </c:strRef>
          </c:cat>
          <c:val>
            <c:numRef>
              <c:f>'Operation by operation type-EDA'!$B$5:$B$15</c:f>
              <c:numCache>
                <c:formatCode>General</c:formatCode>
                <c:ptCount val="10"/>
                <c:pt idx="0">
                  <c:v>5</c:v>
                </c:pt>
                <c:pt idx="1">
                  <c:v>6</c:v>
                </c:pt>
                <c:pt idx="2">
                  <c:v>2</c:v>
                </c:pt>
                <c:pt idx="3">
                  <c:v>49</c:v>
                </c:pt>
                <c:pt idx="5">
                  <c:v>2</c:v>
                </c:pt>
                <c:pt idx="6">
                  <c:v>12</c:v>
                </c:pt>
                <c:pt idx="7">
                  <c:v>3</c:v>
                </c:pt>
                <c:pt idx="8">
                  <c:v>5</c:v>
                </c:pt>
                <c:pt idx="9">
                  <c:v>11</c:v>
                </c:pt>
              </c:numCache>
            </c:numRef>
          </c:val>
          <c:extLst>
            <c:ext xmlns:c16="http://schemas.microsoft.com/office/drawing/2014/chart" uri="{C3380CC4-5D6E-409C-BE32-E72D297353CC}">
              <c16:uniqueId val="{00000000-7B8C-4AB5-9A25-BF7B5B0E2589}"/>
            </c:ext>
          </c:extLst>
        </c:ser>
        <c:ser>
          <c:idx val="1"/>
          <c:order val="1"/>
          <c:tx>
            <c:strRef>
              <c:f>'Operation by operation type-EDA'!$C$3:$C$4</c:f>
              <c:strCache>
                <c:ptCount val="1"/>
                <c:pt idx="0">
                  <c:v>CABG</c:v>
                </c:pt>
              </c:strCache>
            </c:strRef>
          </c:tx>
          <c:spPr>
            <a:solidFill>
              <a:schemeClr val="accent2"/>
            </a:solidFill>
            <a:ln>
              <a:noFill/>
            </a:ln>
            <a:effectLst/>
          </c:spPr>
          <c:invertIfNegative val="0"/>
          <c:cat>
            <c:strRef>
              <c:f>'Operation by operation type-EDA'!$A$5:$A$15</c:f>
              <c:strCache>
                <c:ptCount val="10"/>
                <c:pt idx="0">
                  <c:v>B Bryant</c:v>
                </c:pt>
                <c:pt idx="1">
                  <c:v>C Cheung</c:v>
                </c:pt>
                <c:pt idx="2">
                  <c:v>C Shasikaran</c:v>
                </c:pt>
                <c:pt idx="3">
                  <c:v>E Ellingson</c:v>
                </c:pt>
                <c:pt idx="4">
                  <c:v>F Randle</c:v>
                </c:pt>
                <c:pt idx="5">
                  <c:v>G Guy</c:v>
                </c:pt>
                <c:pt idx="6">
                  <c:v>H Hodgson</c:v>
                </c:pt>
                <c:pt idx="7">
                  <c:v>I Ibbotson</c:v>
                </c:pt>
                <c:pt idx="8">
                  <c:v>K Doran </c:v>
                </c:pt>
                <c:pt idx="9">
                  <c:v>S Scully</c:v>
                </c:pt>
              </c:strCache>
            </c:strRef>
          </c:cat>
          <c:val>
            <c:numRef>
              <c:f>'Operation by operation type-EDA'!$C$5:$C$15</c:f>
              <c:numCache>
                <c:formatCode>General</c:formatCode>
                <c:ptCount val="10"/>
                <c:pt idx="0">
                  <c:v>43</c:v>
                </c:pt>
                <c:pt idx="1">
                  <c:v>59</c:v>
                </c:pt>
                <c:pt idx="2">
                  <c:v>15</c:v>
                </c:pt>
                <c:pt idx="3">
                  <c:v>48</c:v>
                </c:pt>
                <c:pt idx="4">
                  <c:v>7</c:v>
                </c:pt>
                <c:pt idx="5">
                  <c:v>37</c:v>
                </c:pt>
                <c:pt idx="6">
                  <c:v>89</c:v>
                </c:pt>
                <c:pt idx="7">
                  <c:v>9</c:v>
                </c:pt>
                <c:pt idx="8">
                  <c:v>33</c:v>
                </c:pt>
                <c:pt idx="9">
                  <c:v>50</c:v>
                </c:pt>
              </c:numCache>
            </c:numRef>
          </c:val>
          <c:extLst>
            <c:ext xmlns:c16="http://schemas.microsoft.com/office/drawing/2014/chart" uri="{C3380CC4-5D6E-409C-BE32-E72D297353CC}">
              <c16:uniqueId val="{00000001-7B8C-4AB5-9A25-BF7B5B0E2589}"/>
            </c:ext>
          </c:extLst>
        </c:ser>
        <c:ser>
          <c:idx val="2"/>
          <c:order val="2"/>
          <c:tx>
            <c:strRef>
              <c:f>'Operation by operation type-EDA'!$D$3:$D$4</c:f>
              <c:strCache>
                <c:ptCount val="1"/>
                <c:pt idx="0">
                  <c:v>CABG &amp; Valve</c:v>
                </c:pt>
              </c:strCache>
            </c:strRef>
          </c:tx>
          <c:spPr>
            <a:solidFill>
              <a:schemeClr val="accent3"/>
            </a:solidFill>
            <a:ln>
              <a:noFill/>
            </a:ln>
            <a:effectLst/>
          </c:spPr>
          <c:invertIfNegative val="0"/>
          <c:cat>
            <c:strRef>
              <c:f>'Operation by operation type-EDA'!$A$5:$A$15</c:f>
              <c:strCache>
                <c:ptCount val="10"/>
                <c:pt idx="0">
                  <c:v>B Bryant</c:v>
                </c:pt>
                <c:pt idx="1">
                  <c:v>C Cheung</c:v>
                </c:pt>
                <c:pt idx="2">
                  <c:v>C Shasikaran</c:v>
                </c:pt>
                <c:pt idx="3">
                  <c:v>E Ellingson</c:v>
                </c:pt>
                <c:pt idx="4">
                  <c:v>F Randle</c:v>
                </c:pt>
                <c:pt idx="5">
                  <c:v>G Guy</c:v>
                </c:pt>
                <c:pt idx="6">
                  <c:v>H Hodgson</c:v>
                </c:pt>
                <c:pt idx="7">
                  <c:v>I Ibbotson</c:v>
                </c:pt>
                <c:pt idx="8">
                  <c:v>K Doran </c:v>
                </c:pt>
                <c:pt idx="9">
                  <c:v>S Scully</c:v>
                </c:pt>
              </c:strCache>
            </c:strRef>
          </c:cat>
          <c:val>
            <c:numRef>
              <c:f>'Operation by operation type-EDA'!$D$5:$D$15</c:f>
              <c:numCache>
                <c:formatCode>General</c:formatCode>
                <c:ptCount val="10"/>
                <c:pt idx="0">
                  <c:v>12</c:v>
                </c:pt>
                <c:pt idx="1">
                  <c:v>20</c:v>
                </c:pt>
                <c:pt idx="2">
                  <c:v>31</c:v>
                </c:pt>
                <c:pt idx="3">
                  <c:v>24</c:v>
                </c:pt>
                <c:pt idx="4">
                  <c:v>16</c:v>
                </c:pt>
                <c:pt idx="5">
                  <c:v>20</c:v>
                </c:pt>
                <c:pt idx="6">
                  <c:v>28</c:v>
                </c:pt>
                <c:pt idx="7">
                  <c:v>16</c:v>
                </c:pt>
                <c:pt idx="8">
                  <c:v>18</c:v>
                </c:pt>
                <c:pt idx="9">
                  <c:v>20</c:v>
                </c:pt>
              </c:numCache>
            </c:numRef>
          </c:val>
          <c:extLst>
            <c:ext xmlns:c16="http://schemas.microsoft.com/office/drawing/2014/chart" uri="{C3380CC4-5D6E-409C-BE32-E72D297353CC}">
              <c16:uniqueId val="{00000002-7B8C-4AB5-9A25-BF7B5B0E2589}"/>
            </c:ext>
          </c:extLst>
        </c:ser>
        <c:ser>
          <c:idx val="3"/>
          <c:order val="3"/>
          <c:tx>
            <c:strRef>
              <c:f>'Operation by operation type-EDA'!$E$3:$E$4</c:f>
              <c:strCache>
                <c:ptCount val="1"/>
                <c:pt idx="0">
                  <c:v>Major cardiac</c:v>
                </c:pt>
              </c:strCache>
            </c:strRef>
          </c:tx>
          <c:spPr>
            <a:solidFill>
              <a:schemeClr val="accent4"/>
            </a:solidFill>
            <a:ln>
              <a:noFill/>
            </a:ln>
            <a:effectLst/>
          </c:spPr>
          <c:invertIfNegative val="0"/>
          <c:cat>
            <c:strRef>
              <c:f>'Operation by operation type-EDA'!$A$5:$A$15</c:f>
              <c:strCache>
                <c:ptCount val="10"/>
                <c:pt idx="0">
                  <c:v>B Bryant</c:v>
                </c:pt>
                <c:pt idx="1">
                  <c:v>C Cheung</c:v>
                </c:pt>
                <c:pt idx="2">
                  <c:v>C Shasikaran</c:v>
                </c:pt>
                <c:pt idx="3">
                  <c:v>E Ellingson</c:v>
                </c:pt>
                <c:pt idx="4">
                  <c:v>F Randle</c:v>
                </c:pt>
                <c:pt idx="5">
                  <c:v>G Guy</c:v>
                </c:pt>
                <c:pt idx="6">
                  <c:v>H Hodgson</c:v>
                </c:pt>
                <c:pt idx="7">
                  <c:v>I Ibbotson</c:v>
                </c:pt>
                <c:pt idx="8">
                  <c:v>K Doran </c:v>
                </c:pt>
                <c:pt idx="9">
                  <c:v>S Scully</c:v>
                </c:pt>
              </c:strCache>
            </c:strRef>
          </c:cat>
          <c:val>
            <c:numRef>
              <c:f>'Operation by operation type-EDA'!$E$5:$E$15</c:f>
              <c:numCache>
                <c:formatCode>General</c:formatCode>
                <c:ptCount val="10"/>
                <c:pt idx="2">
                  <c:v>1</c:v>
                </c:pt>
                <c:pt idx="3">
                  <c:v>2</c:v>
                </c:pt>
                <c:pt idx="5">
                  <c:v>2</c:v>
                </c:pt>
                <c:pt idx="6">
                  <c:v>4</c:v>
                </c:pt>
                <c:pt idx="7">
                  <c:v>2</c:v>
                </c:pt>
                <c:pt idx="8">
                  <c:v>5</c:v>
                </c:pt>
                <c:pt idx="9">
                  <c:v>5</c:v>
                </c:pt>
              </c:numCache>
            </c:numRef>
          </c:val>
          <c:extLst>
            <c:ext xmlns:c16="http://schemas.microsoft.com/office/drawing/2014/chart" uri="{C3380CC4-5D6E-409C-BE32-E72D297353CC}">
              <c16:uniqueId val="{00000003-7B8C-4AB5-9A25-BF7B5B0E2589}"/>
            </c:ext>
          </c:extLst>
        </c:ser>
        <c:ser>
          <c:idx val="4"/>
          <c:order val="4"/>
          <c:tx>
            <c:strRef>
              <c:f>'Operation by operation type-EDA'!$F$3:$F$4</c:f>
              <c:strCache>
                <c:ptCount val="1"/>
                <c:pt idx="0">
                  <c:v>None</c:v>
                </c:pt>
              </c:strCache>
            </c:strRef>
          </c:tx>
          <c:spPr>
            <a:solidFill>
              <a:schemeClr val="accent5"/>
            </a:solidFill>
            <a:ln>
              <a:noFill/>
            </a:ln>
            <a:effectLst/>
          </c:spPr>
          <c:invertIfNegative val="0"/>
          <c:cat>
            <c:strRef>
              <c:f>'Operation by operation type-EDA'!$A$5:$A$15</c:f>
              <c:strCache>
                <c:ptCount val="10"/>
                <c:pt idx="0">
                  <c:v>B Bryant</c:v>
                </c:pt>
                <c:pt idx="1">
                  <c:v>C Cheung</c:v>
                </c:pt>
                <c:pt idx="2">
                  <c:v>C Shasikaran</c:v>
                </c:pt>
                <c:pt idx="3">
                  <c:v>E Ellingson</c:v>
                </c:pt>
                <c:pt idx="4">
                  <c:v>F Randle</c:v>
                </c:pt>
                <c:pt idx="5">
                  <c:v>G Guy</c:v>
                </c:pt>
                <c:pt idx="6">
                  <c:v>H Hodgson</c:v>
                </c:pt>
                <c:pt idx="7">
                  <c:v>I Ibbotson</c:v>
                </c:pt>
                <c:pt idx="8">
                  <c:v>K Doran </c:v>
                </c:pt>
                <c:pt idx="9">
                  <c:v>S Scully</c:v>
                </c:pt>
              </c:strCache>
            </c:strRef>
          </c:cat>
          <c:val>
            <c:numRef>
              <c:f>'Operation by operation type-EDA'!$F$5:$F$15</c:f>
              <c:numCache>
                <c:formatCode>General</c:formatCode>
                <c:ptCount val="10"/>
                <c:pt idx="0">
                  <c:v>1</c:v>
                </c:pt>
                <c:pt idx="7">
                  <c:v>1</c:v>
                </c:pt>
                <c:pt idx="9">
                  <c:v>1</c:v>
                </c:pt>
              </c:numCache>
            </c:numRef>
          </c:val>
          <c:extLst>
            <c:ext xmlns:c16="http://schemas.microsoft.com/office/drawing/2014/chart" uri="{C3380CC4-5D6E-409C-BE32-E72D297353CC}">
              <c16:uniqueId val="{00000004-7B8C-4AB5-9A25-BF7B5B0E2589}"/>
            </c:ext>
          </c:extLst>
        </c:ser>
        <c:ser>
          <c:idx val="5"/>
          <c:order val="5"/>
          <c:tx>
            <c:strRef>
              <c:f>'Operation by operation type-EDA'!$G$3:$G$4</c:f>
              <c:strCache>
                <c:ptCount val="1"/>
                <c:pt idx="0">
                  <c:v>Other</c:v>
                </c:pt>
              </c:strCache>
            </c:strRef>
          </c:tx>
          <c:spPr>
            <a:solidFill>
              <a:schemeClr val="accent6"/>
            </a:solidFill>
            <a:ln>
              <a:noFill/>
            </a:ln>
            <a:effectLst/>
          </c:spPr>
          <c:invertIfNegative val="0"/>
          <c:cat>
            <c:strRef>
              <c:f>'Operation by operation type-EDA'!$A$5:$A$15</c:f>
              <c:strCache>
                <c:ptCount val="10"/>
                <c:pt idx="0">
                  <c:v>B Bryant</c:v>
                </c:pt>
                <c:pt idx="1">
                  <c:v>C Cheung</c:v>
                </c:pt>
                <c:pt idx="2">
                  <c:v>C Shasikaran</c:v>
                </c:pt>
                <c:pt idx="3">
                  <c:v>E Ellingson</c:v>
                </c:pt>
                <c:pt idx="4">
                  <c:v>F Randle</c:v>
                </c:pt>
                <c:pt idx="5">
                  <c:v>G Guy</c:v>
                </c:pt>
                <c:pt idx="6">
                  <c:v>H Hodgson</c:v>
                </c:pt>
                <c:pt idx="7">
                  <c:v>I Ibbotson</c:v>
                </c:pt>
                <c:pt idx="8">
                  <c:v>K Doran </c:v>
                </c:pt>
                <c:pt idx="9">
                  <c:v>S Scully</c:v>
                </c:pt>
              </c:strCache>
            </c:strRef>
          </c:cat>
          <c:val>
            <c:numRef>
              <c:f>'Operation by operation type-EDA'!$G$5:$G$15</c:f>
              <c:numCache>
                <c:formatCode>General</c:formatCode>
                <c:ptCount val="10"/>
                <c:pt idx="2">
                  <c:v>1</c:v>
                </c:pt>
                <c:pt idx="3">
                  <c:v>1</c:v>
                </c:pt>
              </c:numCache>
            </c:numRef>
          </c:val>
          <c:extLst>
            <c:ext xmlns:c16="http://schemas.microsoft.com/office/drawing/2014/chart" uri="{C3380CC4-5D6E-409C-BE32-E72D297353CC}">
              <c16:uniqueId val="{00000005-7B8C-4AB5-9A25-BF7B5B0E2589}"/>
            </c:ext>
          </c:extLst>
        </c:ser>
        <c:ser>
          <c:idx val="6"/>
          <c:order val="6"/>
          <c:tx>
            <c:strRef>
              <c:f>'Operation by operation type-EDA'!$H$3:$H$4</c:f>
              <c:strCache>
                <c:ptCount val="1"/>
                <c:pt idx="0">
                  <c:v>Valve</c:v>
                </c:pt>
              </c:strCache>
            </c:strRef>
          </c:tx>
          <c:spPr>
            <a:solidFill>
              <a:schemeClr val="accent1">
                <a:lumMod val="60000"/>
              </a:schemeClr>
            </a:solidFill>
            <a:ln>
              <a:noFill/>
            </a:ln>
            <a:effectLst/>
          </c:spPr>
          <c:invertIfNegative val="0"/>
          <c:cat>
            <c:strRef>
              <c:f>'Operation by operation type-EDA'!$A$5:$A$15</c:f>
              <c:strCache>
                <c:ptCount val="10"/>
                <c:pt idx="0">
                  <c:v>B Bryant</c:v>
                </c:pt>
                <c:pt idx="1">
                  <c:v>C Cheung</c:v>
                </c:pt>
                <c:pt idx="2">
                  <c:v>C Shasikaran</c:v>
                </c:pt>
                <c:pt idx="3">
                  <c:v>E Ellingson</c:v>
                </c:pt>
                <c:pt idx="4">
                  <c:v>F Randle</c:v>
                </c:pt>
                <c:pt idx="5">
                  <c:v>G Guy</c:v>
                </c:pt>
                <c:pt idx="6">
                  <c:v>H Hodgson</c:v>
                </c:pt>
                <c:pt idx="7">
                  <c:v>I Ibbotson</c:v>
                </c:pt>
                <c:pt idx="8">
                  <c:v>K Doran </c:v>
                </c:pt>
                <c:pt idx="9">
                  <c:v>S Scully</c:v>
                </c:pt>
              </c:strCache>
            </c:strRef>
          </c:cat>
          <c:val>
            <c:numRef>
              <c:f>'Operation by operation type-EDA'!$H$5:$H$15</c:f>
              <c:numCache>
                <c:formatCode>General</c:formatCode>
                <c:ptCount val="10"/>
                <c:pt idx="0">
                  <c:v>27</c:v>
                </c:pt>
                <c:pt idx="1">
                  <c:v>22</c:v>
                </c:pt>
                <c:pt idx="2">
                  <c:v>44</c:v>
                </c:pt>
                <c:pt idx="3">
                  <c:v>33</c:v>
                </c:pt>
                <c:pt idx="4">
                  <c:v>103</c:v>
                </c:pt>
                <c:pt idx="5">
                  <c:v>18</c:v>
                </c:pt>
                <c:pt idx="6">
                  <c:v>26</c:v>
                </c:pt>
                <c:pt idx="7">
                  <c:v>65</c:v>
                </c:pt>
                <c:pt idx="8">
                  <c:v>42</c:v>
                </c:pt>
                <c:pt idx="9">
                  <c:v>23</c:v>
                </c:pt>
              </c:numCache>
            </c:numRef>
          </c:val>
          <c:extLst>
            <c:ext xmlns:c16="http://schemas.microsoft.com/office/drawing/2014/chart" uri="{C3380CC4-5D6E-409C-BE32-E72D297353CC}">
              <c16:uniqueId val="{00000006-7B8C-4AB5-9A25-BF7B5B0E2589}"/>
            </c:ext>
          </c:extLst>
        </c:ser>
        <c:dLbls>
          <c:showLegendKey val="0"/>
          <c:showVal val="0"/>
          <c:showCatName val="0"/>
          <c:showSerName val="0"/>
          <c:showPercent val="0"/>
          <c:showBubbleSize val="0"/>
        </c:dLbls>
        <c:gapWidth val="182"/>
        <c:axId val="725880191"/>
        <c:axId val="725883071"/>
      </c:barChart>
      <c:catAx>
        <c:axId val="725880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883071"/>
        <c:crosses val="autoZero"/>
        <c:auto val="1"/>
        <c:lblAlgn val="ctr"/>
        <c:lblOffset val="100"/>
        <c:noMultiLvlLbl val="0"/>
      </c:catAx>
      <c:valAx>
        <c:axId val="7258830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880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[Cardiac Surgery &amp; Mortality Risk Analysis.xlsx]Actual&amp;Predicted mortality(EDA)!PivotTable10</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'Actual&amp;Predicted mortality(EDA)'!$B$32</c:f>
              <c:strCache>
                <c:ptCount val="1"/>
                <c:pt idx="0">
                  <c:v>Average of Risk of Death % (Model 1)</c:v>
                </c:pt>
              </c:strCache>
            </c:strRef>
          </c:tx>
          <c:spPr>
            <a:ln w="28575" cap="rnd">
              <a:solidFill>
                <a:schemeClr val="accent1"/>
              </a:solidFill>
              <a:round/>
            </a:ln>
            <a:effectLst/>
          </c:spPr>
          <c:marker>
            <c:symbol val="none"/>
          </c:marker>
          <c:cat>
            <c:strRef>
              <c:f>'Actual&amp;Predicted mortality(EDA)'!$A$33:$A$50</c:f>
              <c:strCache>
                <c:ptCount val="17"/>
                <c:pt idx="0">
                  <c:v>A Abbott</c:v>
                </c:pt>
                <c:pt idx="1">
                  <c:v>B Bryant</c:v>
                </c:pt>
                <c:pt idx="2">
                  <c:v>C Cheung</c:v>
                </c:pt>
                <c:pt idx="3">
                  <c:v>C Cuthbert</c:v>
                </c:pt>
                <c:pt idx="4">
                  <c:v>C Shasikaran</c:v>
                </c:pt>
                <c:pt idx="5">
                  <c:v>E Ellingson</c:v>
                </c:pt>
                <c:pt idx="6">
                  <c:v>F Randle</c:v>
                </c:pt>
                <c:pt idx="7">
                  <c:v>G Guy</c:v>
                </c:pt>
                <c:pt idx="8">
                  <c:v>H Hodgson</c:v>
                </c:pt>
                <c:pt idx="9">
                  <c:v>I Ibbotson</c:v>
                </c:pt>
                <c:pt idx="10">
                  <c:v>K Doran </c:v>
                </c:pt>
                <c:pt idx="11">
                  <c:v>L LeBlanc</c:v>
                </c:pt>
                <c:pt idx="12">
                  <c:v>L Shepard</c:v>
                </c:pt>
                <c:pt idx="13">
                  <c:v>Multiple Surgeon Team</c:v>
                </c:pt>
                <c:pt idx="14">
                  <c:v>R Rubiella</c:v>
                </c:pt>
                <c:pt idx="15">
                  <c:v>S Scully</c:v>
                </c:pt>
                <c:pt idx="16">
                  <c:v>W Wilkening</c:v>
                </c:pt>
              </c:strCache>
            </c:strRef>
          </c:cat>
          <c:val>
            <c:numRef>
              <c:f>'Actual&amp;Predicted mortality(EDA)'!$B$33:$B$50</c:f>
              <c:numCache>
                <c:formatCode>0.00</c:formatCode>
                <c:ptCount val="17"/>
                <c:pt idx="0">
                  <c:v>6.9138888888888888</c:v>
                </c:pt>
                <c:pt idx="1">
                  <c:v>7.5112500000000004</c:v>
                </c:pt>
                <c:pt idx="2">
                  <c:v>7.0729906542056087</c:v>
                </c:pt>
                <c:pt idx="3">
                  <c:v>11.512499999999999</c:v>
                </c:pt>
                <c:pt idx="4">
                  <c:v>10.951808510638301</c:v>
                </c:pt>
                <c:pt idx="5">
                  <c:v>9.7776433121019082</c:v>
                </c:pt>
                <c:pt idx="6">
                  <c:v>6.0993650793650787</c:v>
                </c:pt>
                <c:pt idx="7">
                  <c:v>6.1508860759493658</c:v>
                </c:pt>
                <c:pt idx="8">
                  <c:v>8.264339622641506</c:v>
                </c:pt>
                <c:pt idx="9">
                  <c:v>9.5862500000000015</c:v>
                </c:pt>
                <c:pt idx="10">
                  <c:v>8.3058252427184485</c:v>
                </c:pt>
                <c:pt idx="11">
                  <c:v>7.4816666666666665</c:v>
                </c:pt>
                <c:pt idx="12">
                  <c:v>5.8375000000000004</c:v>
                </c:pt>
                <c:pt idx="13">
                  <c:v>22.509999999999998</c:v>
                </c:pt>
                <c:pt idx="14">
                  <c:v>6.1155932203389831</c:v>
                </c:pt>
                <c:pt idx="15">
                  <c:v>10.266727272727277</c:v>
                </c:pt>
                <c:pt idx="16">
                  <c:v>7.8091999999999988</c:v>
                </c:pt>
              </c:numCache>
            </c:numRef>
          </c:val>
          <c:smooth val="0"/>
          <c:extLst>
            <c:ext xmlns:c16="http://schemas.microsoft.com/office/drawing/2014/chart" uri="{C3380CC4-5D6E-409C-BE32-E72D297353CC}">
              <c16:uniqueId val="{00000000-D095-4330-B071-DDA0378D0F9F}"/>
            </c:ext>
          </c:extLst>
        </c:ser>
        <c:ser>
          <c:idx val="1"/>
          <c:order val="1"/>
          <c:tx>
            <c:strRef>
              <c:f>'Actual&amp;Predicted mortality(EDA)'!$C$32</c:f>
              <c:strCache>
                <c:ptCount val="1"/>
                <c:pt idx="0">
                  <c:v>Average of Risk of Death % (Model 2)</c:v>
                </c:pt>
              </c:strCache>
            </c:strRef>
          </c:tx>
          <c:spPr>
            <a:ln w="28575" cap="rnd">
              <a:solidFill>
                <a:schemeClr val="accent2"/>
              </a:solidFill>
              <a:round/>
            </a:ln>
            <a:effectLst/>
          </c:spPr>
          <c:marker>
            <c:symbol val="none"/>
          </c:marker>
          <c:cat>
            <c:strRef>
              <c:f>'Actual&amp;Predicted mortality(EDA)'!$A$33:$A$50</c:f>
              <c:strCache>
                <c:ptCount val="17"/>
                <c:pt idx="0">
                  <c:v>A Abbott</c:v>
                </c:pt>
                <c:pt idx="1">
                  <c:v>B Bryant</c:v>
                </c:pt>
                <c:pt idx="2">
                  <c:v>C Cheung</c:v>
                </c:pt>
                <c:pt idx="3">
                  <c:v>C Cuthbert</c:v>
                </c:pt>
                <c:pt idx="4">
                  <c:v>C Shasikaran</c:v>
                </c:pt>
                <c:pt idx="5">
                  <c:v>E Ellingson</c:v>
                </c:pt>
                <c:pt idx="6">
                  <c:v>F Randle</c:v>
                </c:pt>
                <c:pt idx="7">
                  <c:v>G Guy</c:v>
                </c:pt>
                <c:pt idx="8">
                  <c:v>H Hodgson</c:v>
                </c:pt>
                <c:pt idx="9">
                  <c:v>I Ibbotson</c:v>
                </c:pt>
                <c:pt idx="10">
                  <c:v>K Doran </c:v>
                </c:pt>
                <c:pt idx="11">
                  <c:v>L LeBlanc</c:v>
                </c:pt>
                <c:pt idx="12">
                  <c:v>L Shepard</c:v>
                </c:pt>
                <c:pt idx="13">
                  <c:v>Multiple Surgeon Team</c:v>
                </c:pt>
                <c:pt idx="14">
                  <c:v>R Rubiella</c:v>
                </c:pt>
                <c:pt idx="15">
                  <c:v>S Scully</c:v>
                </c:pt>
                <c:pt idx="16">
                  <c:v>W Wilkening</c:v>
                </c:pt>
              </c:strCache>
            </c:strRef>
          </c:cat>
          <c:val>
            <c:numRef>
              <c:f>'Actual&amp;Predicted mortality(EDA)'!$C$33:$C$50</c:f>
              <c:numCache>
                <c:formatCode>0.00</c:formatCode>
                <c:ptCount val="17"/>
                <c:pt idx="0">
                  <c:v>3.2166666666666668</c:v>
                </c:pt>
                <c:pt idx="1">
                  <c:v>3.2899999999999987</c:v>
                </c:pt>
                <c:pt idx="2">
                  <c:v>3.4012149532710287</c:v>
                </c:pt>
                <c:pt idx="3">
                  <c:v>5.4367857142857146</c:v>
                </c:pt>
                <c:pt idx="4">
                  <c:v>5.3194680851063847</c:v>
                </c:pt>
                <c:pt idx="5">
                  <c:v>3.7668152866242028</c:v>
                </c:pt>
                <c:pt idx="6">
                  <c:v>2.65031746031746</c:v>
                </c:pt>
                <c:pt idx="7">
                  <c:v>3.7730379746835463</c:v>
                </c:pt>
                <c:pt idx="8">
                  <c:v>3.7606289308176097</c:v>
                </c:pt>
                <c:pt idx="9">
                  <c:v>4.5602083333333328</c:v>
                </c:pt>
                <c:pt idx="10">
                  <c:v>4.4944660194174757</c:v>
                </c:pt>
                <c:pt idx="11">
                  <c:v>1.9791666666666667</c:v>
                </c:pt>
                <c:pt idx="12">
                  <c:v>1.988</c:v>
                </c:pt>
                <c:pt idx="13">
                  <c:v>19.8825</c:v>
                </c:pt>
                <c:pt idx="14">
                  <c:v>2.5328813559322039</c:v>
                </c:pt>
                <c:pt idx="15">
                  <c:v>4.7346363636363655</c:v>
                </c:pt>
                <c:pt idx="16">
                  <c:v>3.8718666666666675</c:v>
                </c:pt>
              </c:numCache>
            </c:numRef>
          </c:val>
          <c:smooth val="0"/>
          <c:extLst>
            <c:ext xmlns:c16="http://schemas.microsoft.com/office/drawing/2014/chart" uri="{C3380CC4-5D6E-409C-BE32-E72D297353CC}">
              <c16:uniqueId val="{00000001-D095-4330-B071-DDA0378D0F9F}"/>
            </c:ext>
          </c:extLst>
        </c:ser>
        <c:dLbls>
          <c:showLegendKey val="0"/>
          <c:showVal val="0"/>
          <c:showCatName val="0"/>
          <c:showSerName val="0"/>
          <c:showPercent val="0"/>
          <c:showBubbleSize val="0"/>
        </c:dLbls>
        <c:smooth val="0"/>
        <c:axId val="655675263"/>
        <c:axId val="655677183"/>
      </c:lineChart>
      <c:catAx>
        <c:axId val="655675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677183"/>
        <c:crosses val="autoZero"/>
        <c:auto val="1"/>
        <c:lblAlgn val="ctr"/>
        <c:lblOffset val="100"/>
        <c:noMultiLvlLbl val="0"/>
      </c:catAx>
      <c:valAx>
        <c:axId val="65567718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675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400049</xdr:colOff>
      <xdr:row>2</xdr:row>
      <xdr:rowOff>4760</xdr:rowOff>
    </xdr:from>
    <xdr:to>
      <xdr:col>19</xdr:col>
      <xdr:colOff>333374</xdr:colOff>
      <xdr:row>30</xdr:row>
      <xdr:rowOff>76200</xdr:rowOff>
    </xdr:to>
    <xdr:graphicFrame macro="">
      <xdr:nvGraphicFramePr>
        <xdr:cNvPr id="2" name="Chart 1">
          <a:extLst>
            <a:ext uri="{FF2B5EF4-FFF2-40B4-BE49-F238E27FC236}">
              <a16:creationId xmlns:a16="http://schemas.microsoft.com/office/drawing/2014/main" id="{8D3BBF5D-1109-711D-A3ED-88054C57B9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838199</xdr:colOff>
      <xdr:row>1</xdr:row>
      <xdr:rowOff>157161</xdr:rowOff>
    </xdr:from>
    <xdr:to>
      <xdr:col>14</xdr:col>
      <xdr:colOff>95250</xdr:colOff>
      <xdr:row>22</xdr:row>
      <xdr:rowOff>9524</xdr:rowOff>
    </xdr:to>
    <xdr:graphicFrame macro="">
      <xdr:nvGraphicFramePr>
        <xdr:cNvPr id="2" name="Chart 1">
          <a:extLst>
            <a:ext uri="{FF2B5EF4-FFF2-40B4-BE49-F238E27FC236}">
              <a16:creationId xmlns:a16="http://schemas.microsoft.com/office/drawing/2014/main" id="{94EBABE9-F569-C5A3-F21B-6E6855366E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809626</xdr:colOff>
      <xdr:row>26</xdr:row>
      <xdr:rowOff>42862</xdr:rowOff>
    </xdr:from>
    <xdr:to>
      <xdr:col>14</xdr:col>
      <xdr:colOff>85726</xdr:colOff>
      <xdr:row>44</xdr:row>
      <xdr:rowOff>152400</xdr:rowOff>
    </xdr:to>
    <xdr:graphicFrame macro="">
      <xdr:nvGraphicFramePr>
        <xdr:cNvPr id="3" name="Chart 2">
          <a:extLst>
            <a:ext uri="{FF2B5EF4-FFF2-40B4-BE49-F238E27FC236}">
              <a16:creationId xmlns:a16="http://schemas.microsoft.com/office/drawing/2014/main" id="{D36D9F1F-2F7C-D9ED-82BB-775406E28C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25627</xdr:colOff>
      <xdr:row>8</xdr:row>
      <xdr:rowOff>13229</xdr:rowOff>
    </xdr:from>
    <xdr:to>
      <xdr:col>13</xdr:col>
      <xdr:colOff>291042</xdr:colOff>
      <xdr:row>26</xdr:row>
      <xdr:rowOff>135543</xdr:rowOff>
    </xdr:to>
    <xdr:graphicFrame macro="">
      <xdr:nvGraphicFramePr>
        <xdr:cNvPr id="2" name="Chart 1">
          <a:extLst>
            <a:ext uri="{FF2B5EF4-FFF2-40B4-BE49-F238E27FC236}">
              <a16:creationId xmlns:a16="http://schemas.microsoft.com/office/drawing/2014/main" id="{16B2F05F-587E-4378-A267-41C91EC32D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351215</xdr:colOff>
      <xdr:row>8</xdr:row>
      <xdr:rowOff>26459</xdr:rowOff>
    </xdr:from>
    <xdr:to>
      <xdr:col>25</xdr:col>
      <xdr:colOff>251354</xdr:colOff>
      <xdr:row>26</xdr:row>
      <xdr:rowOff>126245</xdr:rowOff>
    </xdr:to>
    <xdr:graphicFrame macro="">
      <xdr:nvGraphicFramePr>
        <xdr:cNvPr id="3" name="Chart 2">
          <a:extLst>
            <a:ext uri="{FF2B5EF4-FFF2-40B4-BE49-F238E27FC236}">
              <a16:creationId xmlns:a16="http://schemas.microsoft.com/office/drawing/2014/main" id="{76313836-A8D9-41A8-9D0E-6BB86A5867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65312</xdr:colOff>
      <xdr:row>27</xdr:row>
      <xdr:rowOff>78242</xdr:rowOff>
    </xdr:from>
    <xdr:to>
      <xdr:col>25</xdr:col>
      <xdr:colOff>251354</xdr:colOff>
      <xdr:row>45</xdr:row>
      <xdr:rowOff>182488</xdr:rowOff>
    </xdr:to>
    <xdr:graphicFrame macro="">
      <xdr:nvGraphicFramePr>
        <xdr:cNvPr id="4" name="Chart 3">
          <a:extLst>
            <a:ext uri="{FF2B5EF4-FFF2-40B4-BE49-F238E27FC236}">
              <a16:creationId xmlns:a16="http://schemas.microsoft.com/office/drawing/2014/main" id="{7820BCEB-DB9E-451E-AB5F-A9977D8446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309044</xdr:colOff>
      <xdr:row>4</xdr:row>
      <xdr:rowOff>134376</xdr:rowOff>
    </xdr:from>
    <xdr:to>
      <xdr:col>5</xdr:col>
      <xdr:colOff>36286</xdr:colOff>
      <xdr:row>10</xdr:row>
      <xdr:rowOff>83344</xdr:rowOff>
    </xdr:to>
    <mc:AlternateContent xmlns:mc="http://schemas.openxmlformats.org/markup-compatibility/2006" xmlns:tsle="http://schemas.microsoft.com/office/drawing/2012/timeslicer">
      <mc:Choice Requires="tsle">
        <xdr:graphicFrame macro="">
          <xdr:nvGraphicFramePr>
            <xdr:cNvPr id="5" name="Hospital Admit Date ">
              <a:extLst>
                <a:ext uri="{FF2B5EF4-FFF2-40B4-BE49-F238E27FC236}">
                  <a16:creationId xmlns:a16="http://schemas.microsoft.com/office/drawing/2014/main" id="{1F8976AC-613F-667D-72A9-E5E20856A733}"/>
                </a:ext>
              </a:extLst>
            </xdr:cNvPr>
            <xdr:cNvGraphicFramePr/>
          </xdr:nvGraphicFramePr>
          <xdr:xfrm>
            <a:off x="0" y="0"/>
            <a:ext cx="0" cy="0"/>
          </xdr:xfrm>
          <a:graphic>
            <a:graphicData uri="http://schemas.microsoft.com/office/drawing/2012/timeslicer">
              <tsle:timeslicer name="Hospital Admit Date "/>
            </a:graphicData>
          </a:graphic>
        </xdr:graphicFrame>
      </mc:Choice>
      <mc:Fallback xmlns="">
        <xdr:sp macro="" textlink="">
          <xdr:nvSpPr>
            <xdr:cNvPr id="0" name=""/>
            <xdr:cNvSpPr>
              <a:spLocks noTextEdit="1"/>
            </xdr:cNvSpPr>
          </xdr:nvSpPr>
          <xdr:spPr>
            <a:xfrm>
              <a:off x="309044" y="1695417"/>
              <a:ext cx="2889013" cy="11144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281733</xdr:colOff>
      <xdr:row>15</xdr:row>
      <xdr:rowOff>143395</xdr:rowOff>
    </xdr:from>
    <xdr:to>
      <xdr:col>5</xdr:col>
      <xdr:colOff>10206</xdr:colOff>
      <xdr:row>21</xdr:row>
      <xdr:rowOff>95251</xdr:rowOff>
    </xdr:to>
    <mc:AlternateContent xmlns:mc="http://schemas.openxmlformats.org/markup-compatibility/2006" xmlns:tsle="http://schemas.microsoft.com/office/drawing/2012/timeslicer">
      <mc:Choice Requires="tsle">
        <xdr:graphicFrame macro="">
          <xdr:nvGraphicFramePr>
            <xdr:cNvPr id="6" name="Procedure Start Date and Time">
              <a:extLst>
                <a:ext uri="{FF2B5EF4-FFF2-40B4-BE49-F238E27FC236}">
                  <a16:creationId xmlns:a16="http://schemas.microsoft.com/office/drawing/2014/main" id="{505DA2B7-4E84-48FB-2E1A-57E19DDEE0C1}"/>
                </a:ext>
              </a:extLst>
            </xdr:cNvPr>
            <xdr:cNvGraphicFramePr/>
          </xdr:nvGraphicFramePr>
          <xdr:xfrm>
            <a:off x="0" y="0"/>
            <a:ext cx="0" cy="0"/>
          </xdr:xfrm>
          <a:graphic>
            <a:graphicData uri="http://schemas.microsoft.com/office/drawing/2012/timeslicer">
              <tsle:timeslicer name="Procedure Start Date and Time"/>
            </a:graphicData>
          </a:graphic>
        </xdr:graphicFrame>
      </mc:Choice>
      <mc:Fallback xmlns="">
        <xdr:sp macro="" textlink="">
          <xdr:nvSpPr>
            <xdr:cNvPr id="0" name=""/>
            <xdr:cNvSpPr>
              <a:spLocks noTextEdit="1"/>
            </xdr:cNvSpPr>
          </xdr:nvSpPr>
          <xdr:spPr>
            <a:xfrm>
              <a:off x="281733" y="3741727"/>
              <a:ext cx="2890244" cy="11144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oneCellAnchor>
    <xdr:from>
      <xdr:col>14</xdr:col>
      <xdr:colOff>288641</xdr:colOff>
      <xdr:row>15</xdr:row>
      <xdr:rowOff>59823</xdr:rowOff>
    </xdr:from>
    <xdr:ext cx="184731" cy="937629"/>
    <xdr:sp macro="" textlink="">
      <xdr:nvSpPr>
        <xdr:cNvPr id="7" name="Rectangle 6">
          <a:extLst>
            <a:ext uri="{FF2B5EF4-FFF2-40B4-BE49-F238E27FC236}">
              <a16:creationId xmlns:a16="http://schemas.microsoft.com/office/drawing/2014/main" id="{38462609-BCD5-79DE-EE71-731A65CCBF22}"/>
            </a:ext>
          </a:extLst>
        </xdr:cNvPr>
        <xdr:cNvSpPr/>
      </xdr:nvSpPr>
      <xdr:spPr>
        <a:xfrm>
          <a:off x="8823041" y="2917323"/>
          <a:ext cx="184731" cy="937629"/>
        </a:xfrm>
        <a:prstGeom prst="rect">
          <a:avLst/>
        </a:prstGeom>
        <a:noFill/>
      </xdr:spPr>
      <xdr:txBody>
        <a:bodyPr wrap="none" lIns="91440" tIns="45720" rIns="91440" bIns="45720">
          <a:spAutoFit/>
        </a:bodyPr>
        <a:lstStyle/>
        <a:p>
          <a:pPr algn="ctr"/>
          <a:endParaRPr lang="en-US" sz="54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oneCellAnchor>
  <xdr:twoCellAnchor editAs="oneCell">
    <xdr:from>
      <xdr:col>0</xdr:col>
      <xdr:colOff>241377</xdr:colOff>
      <xdr:row>26</xdr:row>
      <xdr:rowOff>121328</xdr:rowOff>
    </xdr:from>
    <xdr:to>
      <xdr:col>4</xdr:col>
      <xdr:colOff>717626</xdr:colOff>
      <xdr:row>32</xdr:row>
      <xdr:rowOff>107358</xdr:rowOff>
    </xdr:to>
    <mc:AlternateContent xmlns:mc="http://schemas.openxmlformats.org/markup-compatibility/2006" xmlns:a14="http://schemas.microsoft.com/office/drawing/2010/main">
      <mc:Choice Requires="a14">
        <xdr:graphicFrame macro="">
          <xdr:nvGraphicFramePr>
            <xdr:cNvPr id="8" name="Operation Type">
              <a:extLst>
                <a:ext uri="{FF2B5EF4-FFF2-40B4-BE49-F238E27FC236}">
                  <a16:creationId xmlns:a16="http://schemas.microsoft.com/office/drawing/2014/main" id="{7A9AEC5B-F459-16D1-90F5-46C0A04D5822}"/>
                </a:ext>
              </a:extLst>
            </xdr:cNvPr>
            <xdr:cNvGraphicFramePr/>
          </xdr:nvGraphicFramePr>
          <xdr:xfrm>
            <a:off x="0" y="0"/>
            <a:ext cx="0" cy="0"/>
          </xdr:xfrm>
          <a:graphic>
            <a:graphicData uri="http://schemas.microsoft.com/office/drawing/2010/slicer">
              <sle:slicer xmlns:sle="http://schemas.microsoft.com/office/drawing/2010/slicer" name="Operation Type"/>
            </a:graphicData>
          </a:graphic>
        </xdr:graphicFrame>
      </mc:Choice>
      <mc:Fallback xmlns="">
        <xdr:sp macro="" textlink="">
          <xdr:nvSpPr>
            <xdr:cNvPr id="0" name=""/>
            <xdr:cNvSpPr>
              <a:spLocks noTextEdit="1"/>
            </xdr:cNvSpPr>
          </xdr:nvSpPr>
          <xdr:spPr>
            <a:xfrm>
              <a:off x="241377" y="5756953"/>
              <a:ext cx="2910416" cy="1097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266854</xdr:colOff>
      <xdr:row>37</xdr:row>
      <xdr:rowOff>58583</xdr:rowOff>
    </xdr:from>
    <xdr:to>
      <xdr:col>4</xdr:col>
      <xdr:colOff>724054</xdr:colOff>
      <xdr:row>43</xdr:row>
      <xdr:rowOff>44613</xdr:rowOff>
    </xdr:to>
    <mc:AlternateContent xmlns:mc="http://schemas.openxmlformats.org/markup-compatibility/2006" xmlns:a14="http://schemas.microsoft.com/office/drawing/2010/main">
      <mc:Choice Requires="a14">
        <xdr:graphicFrame macro="">
          <xdr:nvGraphicFramePr>
            <xdr:cNvPr id="9" name="Patient Status at Discharge">
              <a:extLst>
                <a:ext uri="{FF2B5EF4-FFF2-40B4-BE49-F238E27FC236}">
                  <a16:creationId xmlns:a16="http://schemas.microsoft.com/office/drawing/2014/main" id="{FA2367BB-EE93-5E38-9000-89143622AB23}"/>
                </a:ext>
              </a:extLst>
            </xdr:cNvPr>
            <xdr:cNvGraphicFramePr/>
          </xdr:nvGraphicFramePr>
          <xdr:xfrm>
            <a:off x="0" y="0"/>
            <a:ext cx="0" cy="0"/>
          </xdr:xfrm>
          <a:graphic>
            <a:graphicData uri="http://schemas.microsoft.com/office/drawing/2010/slicer">
              <sle:slicer xmlns:sle="http://schemas.microsoft.com/office/drawing/2010/slicer" name="Patient Status at Discharge"/>
            </a:graphicData>
          </a:graphic>
        </xdr:graphicFrame>
      </mc:Choice>
      <mc:Fallback xmlns="">
        <xdr:sp macro="" textlink="">
          <xdr:nvSpPr>
            <xdr:cNvPr id="0" name=""/>
            <xdr:cNvSpPr>
              <a:spLocks noTextEdit="1"/>
            </xdr:cNvSpPr>
          </xdr:nvSpPr>
          <xdr:spPr>
            <a:xfrm>
              <a:off x="266854" y="7731500"/>
              <a:ext cx="2891367" cy="1097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1209145</xdr:colOff>
      <xdr:row>2</xdr:row>
      <xdr:rowOff>463021</xdr:rowOff>
    </xdr:from>
    <xdr:to>
      <xdr:col>8</xdr:col>
      <xdr:colOff>568854</xdr:colOff>
      <xdr:row>6</xdr:row>
      <xdr:rowOff>92604</xdr:rowOff>
    </xdr:to>
    <xdr:sp macro="" textlink="">
      <xdr:nvSpPr>
        <xdr:cNvPr id="13" name="Rectangle: Top Corners Rounded 12">
          <a:extLst>
            <a:ext uri="{FF2B5EF4-FFF2-40B4-BE49-F238E27FC236}">
              <a16:creationId xmlns:a16="http://schemas.microsoft.com/office/drawing/2014/main" id="{21060D44-EE77-0F6D-24F2-02BC8BFD0D66}"/>
            </a:ext>
          </a:extLst>
        </xdr:cNvPr>
        <xdr:cNvSpPr/>
      </xdr:nvSpPr>
      <xdr:spPr>
        <a:xfrm>
          <a:off x="4370916" y="1190625"/>
          <a:ext cx="2111376" cy="833437"/>
        </a:xfrm>
        <a:prstGeom prst="round2Same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ysClr val="windowText" lastClr="000000"/>
              </a:solidFill>
            </a:rPr>
            <a:t>TOTAL</a:t>
          </a:r>
          <a:r>
            <a:rPr lang="en-US" sz="1600" b="1" baseline="0">
              <a:solidFill>
                <a:sysClr val="windowText" lastClr="000000"/>
              </a:solidFill>
            </a:rPr>
            <a:t> SURGERIES</a:t>
          </a:r>
          <a:r>
            <a:rPr lang="en-US" sz="2000" b="1" baseline="0">
              <a:solidFill>
                <a:sysClr val="windowText" lastClr="000000"/>
              </a:solidFill>
            </a:rPr>
            <a:t>              </a:t>
          </a:r>
          <a:r>
            <a:rPr lang="en-US" sz="2400" b="1" baseline="0">
              <a:solidFill>
                <a:sysClr val="windowText" lastClr="000000"/>
              </a:solidFill>
            </a:rPr>
            <a:t>1335</a:t>
          </a:r>
          <a:endParaRPr lang="en-US" sz="2400" b="1">
            <a:solidFill>
              <a:sysClr val="windowText" lastClr="000000"/>
            </a:solidFill>
          </a:endParaRPr>
        </a:p>
      </xdr:txBody>
    </xdr:sp>
    <xdr:clientData/>
  </xdr:twoCellAnchor>
  <xdr:twoCellAnchor>
    <xdr:from>
      <xdr:col>9</xdr:col>
      <xdr:colOff>20032</xdr:colOff>
      <xdr:row>2</xdr:row>
      <xdr:rowOff>449791</xdr:rowOff>
    </xdr:from>
    <xdr:to>
      <xdr:col>11</xdr:col>
      <xdr:colOff>52916</xdr:colOff>
      <xdr:row>6</xdr:row>
      <xdr:rowOff>66146</xdr:rowOff>
    </xdr:to>
    <xdr:sp macro="" textlink="">
      <xdr:nvSpPr>
        <xdr:cNvPr id="14" name="Rectangle: Top Corners Rounded 13">
          <a:extLst>
            <a:ext uri="{FF2B5EF4-FFF2-40B4-BE49-F238E27FC236}">
              <a16:creationId xmlns:a16="http://schemas.microsoft.com/office/drawing/2014/main" id="{02009F29-370E-4B20-9DF3-C9B50906053B}"/>
            </a:ext>
          </a:extLst>
        </xdr:cNvPr>
        <xdr:cNvSpPr/>
      </xdr:nvSpPr>
      <xdr:spPr>
        <a:xfrm>
          <a:off x="6793365" y="1177395"/>
          <a:ext cx="2308301" cy="820209"/>
        </a:xfrm>
        <a:prstGeom prst="round2Same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baseline="0">
              <a:solidFill>
                <a:sysClr val="windowText" lastClr="000000"/>
              </a:solidFill>
            </a:rPr>
            <a:t>OVERALL MOTALITY</a:t>
          </a:r>
          <a:r>
            <a:rPr lang="en-US" sz="2000" b="1" baseline="0">
              <a:solidFill>
                <a:sysClr val="windowText" lastClr="000000"/>
              </a:solidFill>
            </a:rPr>
            <a:t>             </a:t>
          </a:r>
          <a:r>
            <a:rPr lang="en-US" sz="2400" b="1" baseline="0">
              <a:solidFill>
                <a:sysClr val="windowText" lastClr="000000"/>
              </a:solidFill>
            </a:rPr>
            <a:t>3.3%</a:t>
          </a:r>
          <a:endParaRPr lang="en-US" sz="2400" b="1">
            <a:solidFill>
              <a:sysClr val="windowText" lastClr="000000"/>
            </a:solidFill>
          </a:endParaRPr>
        </a:p>
      </xdr:txBody>
    </xdr:sp>
    <xdr:clientData/>
  </xdr:twoCellAnchor>
  <xdr:twoCellAnchor>
    <xdr:from>
      <xdr:col>11</xdr:col>
      <xdr:colOff>413884</xdr:colOff>
      <xdr:row>2</xdr:row>
      <xdr:rowOff>441857</xdr:rowOff>
    </xdr:from>
    <xdr:to>
      <xdr:col>16</xdr:col>
      <xdr:colOff>79375</xdr:colOff>
      <xdr:row>6</xdr:row>
      <xdr:rowOff>66147</xdr:rowOff>
    </xdr:to>
    <xdr:sp macro="" textlink="">
      <xdr:nvSpPr>
        <xdr:cNvPr id="15" name="Rectangle: Top Corners Rounded 14">
          <a:extLst>
            <a:ext uri="{FF2B5EF4-FFF2-40B4-BE49-F238E27FC236}">
              <a16:creationId xmlns:a16="http://schemas.microsoft.com/office/drawing/2014/main" id="{26057FC6-A4D6-49F4-AFE0-065FDA62C840}"/>
            </a:ext>
          </a:extLst>
        </xdr:cNvPr>
        <xdr:cNvSpPr/>
      </xdr:nvSpPr>
      <xdr:spPr>
        <a:xfrm>
          <a:off x="9462634" y="1169461"/>
          <a:ext cx="3224137" cy="828144"/>
        </a:xfrm>
        <a:prstGeom prst="round2Same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baseline="0">
              <a:solidFill>
                <a:sysClr val="windowText" lastClr="000000"/>
              </a:solidFill>
            </a:rPr>
            <a:t>MOST COMMON PROCEDURE</a:t>
          </a:r>
          <a:r>
            <a:rPr lang="en-US" sz="2000" b="1" baseline="0">
              <a:solidFill>
                <a:sysClr val="windowText" lastClr="000000"/>
              </a:solidFill>
            </a:rPr>
            <a:t>   </a:t>
          </a:r>
        </a:p>
        <a:p>
          <a:pPr algn="ctr"/>
          <a:r>
            <a:rPr lang="en-US" sz="2400" b="1" baseline="0">
              <a:solidFill>
                <a:sysClr val="windowText" lastClr="000000"/>
              </a:solidFill>
            </a:rPr>
            <a:t>VALVE    </a:t>
          </a:r>
          <a:r>
            <a:rPr lang="en-US" sz="2000" b="1" baseline="0">
              <a:solidFill>
                <a:sysClr val="windowText" lastClr="000000"/>
              </a:solidFill>
            </a:rPr>
            <a:t>       </a:t>
          </a:r>
          <a:endParaRPr lang="en-US" sz="2000" b="1">
            <a:solidFill>
              <a:sysClr val="windowText" lastClr="000000"/>
            </a:solidFill>
          </a:endParaRPr>
        </a:p>
      </xdr:txBody>
    </xdr:sp>
    <xdr:clientData/>
  </xdr:twoCellAnchor>
  <xdr:twoCellAnchor>
    <xdr:from>
      <xdr:col>16</xdr:col>
      <xdr:colOff>439587</xdr:colOff>
      <xdr:row>2</xdr:row>
      <xdr:rowOff>419554</xdr:rowOff>
    </xdr:from>
    <xdr:to>
      <xdr:col>20</xdr:col>
      <xdr:colOff>568855</xdr:colOff>
      <xdr:row>6</xdr:row>
      <xdr:rowOff>52916</xdr:rowOff>
    </xdr:to>
    <xdr:sp macro="" textlink="">
      <xdr:nvSpPr>
        <xdr:cNvPr id="16" name="Rectangle: Top Corners Rounded 15">
          <a:extLst>
            <a:ext uri="{FF2B5EF4-FFF2-40B4-BE49-F238E27FC236}">
              <a16:creationId xmlns:a16="http://schemas.microsoft.com/office/drawing/2014/main" id="{A708004C-0660-414C-B06E-5EB89788A86E}"/>
            </a:ext>
          </a:extLst>
        </xdr:cNvPr>
        <xdr:cNvSpPr/>
      </xdr:nvSpPr>
      <xdr:spPr>
        <a:xfrm>
          <a:off x="13046983" y="1147158"/>
          <a:ext cx="2695726" cy="837216"/>
        </a:xfrm>
        <a:prstGeom prst="round2Same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baseline="0">
              <a:solidFill>
                <a:sysClr val="windowText" lastClr="000000"/>
              </a:solidFill>
            </a:rPr>
            <a:t>HIGHEST RISK  SURGEON</a:t>
          </a:r>
          <a:r>
            <a:rPr lang="en-US" sz="2000" b="1" baseline="0">
              <a:solidFill>
                <a:sysClr val="windowText" lastClr="000000"/>
              </a:solidFill>
            </a:rPr>
            <a:t>              </a:t>
          </a:r>
          <a:br>
            <a:rPr lang="en-US" sz="2000" b="1" baseline="0">
              <a:solidFill>
                <a:sysClr val="windowText" lastClr="000000"/>
              </a:solidFill>
            </a:rPr>
          </a:br>
          <a:r>
            <a:rPr lang="en-US" sz="2400" b="1" baseline="0">
              <a:solidFill>
                <a:sysClr val="windowText" lastClr="000000"/>
              </a:solidFill>
            </a:rPr>
            <a:t>S SCULLY (5%)</a:t>
          </a:r>
          <a:endParaRPr lang="en-US" sz="2400" b="1">
            <a:solidFill>
              <a:sysClr val="windowText" lastClr="000000"/>
            </a:solidFill>
          </a:endParaRPr>
        </a:p>
      </xdr:txBody>
    </xdr:sp>
    <xdr:clientData/>
  </xdr:twoCellAnchor>
  <xdr:twoCellAnchor>
    <xdr:from>
      <xdr:col>5</xdr:col>
      <xdr:colOff>1301750</xdr:colOff>
      <xdr:row>1</xdr:row>
      <xdr:rowOff>178858</xdr:rowOff>
    </xdr:from>
    <xdr:to>
      <xdr:col>23</xdr:col>
      <xdr:colOff>476250</xdr:colOff>
      <xdr:row>2</xdr:row>
      <xdr:rowOff>264583</xdr:rowOff>
    </xdr:to>
    <xdr:sp macro="" textlink="">
      <xdr:nvSpPr>
        <xdr:cNvPr id="17" name="Rectangle: Diagonal Corners Rounded 16">
          <a:extLst>
            <a:ext uri="{FF2B5EF4-FFF2-40B4-BE49-F238E27FC236}">
              <a16:creationId xmlns:a16="http://schemas.microsoft.com/office/drawing/2014/main" id="{4086628C-44F6-CECA-0D57-E74F702F40B0}"/>
            </a:ext>
          </a:extLst>
        </xdr:cNvPr>
        <xdr:cNvSpPr/>
      </xdr:nvSpPr>
      <xdr:spPr>
        <a:xfrm>
          <a:off x="4463521" y="509587"/>
          <a:ext cx="13342937" cy="482600"/>
        </a:xfrm>
        <a:prstGeom prst="round2Diag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solidFill>
                <a:schemeClr val="bg1">
                  <a:lumMod val="50000"/>
                </a:schemeClr>
              </a:solidFill>
            </a:rPr>
            <a:t>                                    </a:t>
          </a:r>
          <a:r>
            <a:rPr lang="en-US" sz="2000" b="1">
              <a:solidFill>
                <a:schemeClr val="bg1">
                  <a:lumMod val="50000"/>
                </a:schemeClr>
              </a:solidFill>
            </a:rPr>
            <a:t>Hosiptal</a:t>
          </a:r>
          <a:r>
            <a:rPr lang="en-US" sz="2000" b="1" baseline="0">
              <a:solidFill>
                <a:schemeClr val="bg1">
                  <a:lumMod val="50000"/>
                </a:schemeClr>
              </a:solidFill>
            </a:rPr>
            <a:t> Performance &amp; Risk Model Evaluation - 2020</a:t>
          </a:r>
          <a:endParaRPr lang="en-US" sz="2000" b="1">
            <a:solidFill>
              <a:schemeClr val="bg1">
                <a:lumMod val="50000"/>
              </a:schemeClr>
            </a:solidFill>
          </a:endParaRPr>
        </a:p>
      </xdr:txBody>
    </xdr:sp>
    <xdr:clientData/>
  </xdr:twoCellAnchor>
  <xdr:twoCellAnchor>
    <xdr:from>
      <xdr:col>6</xdr:col>
      <xdr:colOff>105834</xdr:colOff>
      <xdr:row>0</xdr:row>
      <xdr:rowOff>145521</xdr:rowOff>
    </xdr:from>
    <xdr:to>
      <xdr:col>21</xdr:col>
      <xdr:colOff>330730</xdr:colOff>
      <xdr:row>1</xdr:row>
      <xdr:rowOff>343960</xdr:rowOff>
    </xdr:to>
    <xdr:sp macro="" textlink="">
      <xdr:nvSpPr>
        <xdr:cNvPr id="18" name="TextBox 17">
          <a:extLst>
            <a:ext uri="{FF2B5EF4-FFF2-40B4-BE49-F238E27FC236}">
              <a16:creationId xmlns:a16="http://schemas.microsoft.com/office/drawing/2014/main" id="{4DEEF0C6-3841-8AC9-C35C-04388A364220}"/>
            </a:ext>
          </a:extLst>
        </xdr:cNvPr>
        <xdr:cNvSpPr txBox="1"/>
      </xdr:nvSpPr>
      <xdr:spPr>
        <a:xfrm>
          <a:off x="4921251" y="145521"/>
          <a:ext cx="11522604" cy="5291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rgbClr val="4B4B4B"/>
              </a:solidFill>
            </a:rPr>
            <a:t>                   </a:t>
          </a:r>
          <a:r>
            <a:rPr lang="en-US" sz="2800" b="1">
              <a:solidFill>
                <a:srgbClr val="4B4B4B"/>
              </a:solidFill>
            </a:rPr>
            <a:t>CARDIAC SURGERY &amp; MORTALITY RISK ANALYSIS</a:t>
          </a:r>
        </a:p>
      </xdr:txBody>
    </xdr:sp>
    <xdr:clientData/>
  </xdr:twoCellAnchor>
  <xdr:twoCellAnchor>
    <xdr:from>
      <xdr:col>0</xdr:col>
      <xdr:colOff>343957</xdr:colOff>
      <xdr:row>2</xdr:row>
      <xdr:rowOff>410103</xdr:rowOff>
    </xdr:from>
    <xdr:to>
      <xdr:col>5</xdr:col>
      <xdr:colOff>119060</xdr:colOff>
      <xdr:row>3</xdr:row>
      <xdr:rowOff>52915</xdr:rowOff>
    </xdr:to>
    <xdr:sp macro="" textlink="">
      <xdr:nvSpPr>
        <xdr:cNvPr id="21" name="TextBox 20">
          <a:extLst>
            <a:ext uri="{FF2B5EF4-FFF2-40B4-BE49-F238E27FC236}">
              <a16:creationId xmlns:a16="http://schemas.microsoft.com/office/drawing/2014/main" id="{51F8CBEA-A642-6D7B-6ED0-E66FE16758FE}"/>
            </a:ext>
          </a:extLst>
        </xdr:cNvPr>
        <xdr:cNvSpPr txBox="1"/>
      </xdr:nvSpPr>
      <xdr:spPr>
        <a:xfrm>
          <a:off x="343957" y="1137707"/>
          <a:ext cx="2936874" cy="291041"/>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          </a:t>
          </a:r>
          <a:r>
            <a:rPr lang="en-US" sz="1400" b="1"/>
            <a:t>Hospital</a:t>
          </a:r>
          <a:r>
            <a:rPr lang="en-US" sz="1400" b="1" baseline="0"/>
            <a:t> Admit Date </a:t>
          </a:r>
          <a:endParaRPr lang="en-US" sz="1400" b="1"/>
        </a:p>
      </xdr:txBody>
    </xdr:sp>
    <xdr:clientData/>
  </xdr:twoCellAnchor>
  <xdr:twoCellAnchor>
    <xdr:from>
      <xdr:col>0</xdr:col>
      <xdr:colOff>317499</xdr:colOff>
      <xdr:row>12</xdr:row>
      <xdr:rowOff>52918</xdr:rowOff>
    </xdr:from>
    <xdr:to>
      <xdr:col>5</xdr:col>
      <xdr:colOff>26457</xdr:colOff>
      <xdr:row>14</xdr:row>
      <xdr:rowOff>1</xdr:rowOff>
    </xdr:to>
    <xdr:sp macro="" textlink="">
      <xdr:nvSpPr>
        <xdr:cNvPr id="22" name="TextBox 21">
          <a:extLst>
            <a:ext uri="{FF2B5EF4-FFF2-40B4-BE49-F238E27FC236}">
              <a16:creationId xmlns:a16="http://schemas.microsoft.com/office/drawing/2014/main" id="{069F88EB-86CE-5153-0847-C12BB9870551}"/>
            </a:ext>
          </a:extLst>
        </xdr:cNvPr>
        <xdr:cNvSpPr txBox="1"/>
      </xdr:nvSpPr>
      <xdr:spPr>
        <a:xfrm>
          <a:off x="317499" y="3095626"/>
          <a:ext cx="2870729" cy="317500"/>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     Procedure Start Date and Time </a:t>
          </a:r>
        </a:p>
      </xdr:txBody>
    </xdr:sp>
    <xdr:clientData/>
  </xdr:twoCellAnchor>
  <xdr:twoCellAnchor>
    <xdr:from>
      <xdr:col>0</xdr:col>
      <xdr:colOff>264583</xdr:colOff>
      <xdr:row>23</xdr:row>
      <xdr:rowOff>105833</xdr:rowOff>
    </xdr:from>
    <xdr:to>
      <xdr:col>4</xdr:col>
      <xdr:colOff>687915</xdr:colOff>
      <xdr:row>25</xdr:row>
      <xdr:rowOff>39686</xdr:rowOff>
    </xdr:to>
    <xdr:sp macro="" textlink="">
      <xdr:nvSpPr>
        <xdr:cNvPr id="24" name="TextBox 23">
          <a:extLst>
            <a:ext uri="{FF2B5EF4-FFF2-40B4-BE49-F238E27FC236}">
              <a16:creationId xmlns:a16="http://schemas.microsoft.com/office/drawing/2014/main" id="{9DF10A98-6940-3B95-1947-F3FC0B39EF89}"/>
            </a:ext>
          </a:extLst>
        </xdr:cNvPr>
        <xdr:cNvSpPr txBox="1"/>
      </xdr:nvSpPr>
      <xdr:spPr>
        <a:xfrm>
          <a:off x="264583" y="5185833"/>
          <a:ext cx="2857499" cy="304270"/>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                 </a:t>
          </a:r>
          <a:r>
            <a:rPr lang="en-US" sz="1400" b="1"/>
            <a:t>Operation Type</a:t>
          </a:r>
          <a:r>
            <a:rPr lang="en-US" sz="1400"/>
            <a:t> </a:t>
          </a:r>
        </a:p>
      </xdr:txBody>
    </xdr:sp>
    <xdr:clientData/>
  </xdr:twoCellAnchor>
  <xdr:twoCellAnchor>
    <xdr:from>
      <xdr:col>0</xdr:col>
      <xdr:colOff>251354</xdr:colOff>
      <xdr:row>34</xdr:row>
      <xdr:rowOff>66142</xdr:rowOff>
    </xdr:from>
    <xdr:to>
      <xdr:col>4</xdr:col>
      <xdr:colOff>714375</xdr:colOff>
      <xdr:row>35</xdr:row>
      <xdr:rowOff>145519</xdr:rowOff>
    </xdr:to>
    <xdr:sp macro="" textlink="">
      <xdr:nvSpPr>
        <xdr:cNvPr id="25" name="TextBox 24">
          <a:extLst>
            <a:ext uri="{FF2B5EF4-FFF2-40B4-BE49-F238E27FC236}">
              <a16:creationId xmlns:a16="http://schemas.microsoft.com/office/drawing/2014/main" id="{4236AE39-B24F-97E2-F6FF-43A08DAE1DF8}"/>
            </a:ext>
          </a:extLst>
        </xdr:cNvPr>
        <xdr:cNvSpPr txBox="1"/>
      </xdr:nvSpPr>
      <xdr:spPr>
        <a:xfrm>
          <a:off x="251354" y="7183434"/>
          <a:ext cx="2897188" cy="264585"/>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          Patient Status</a:t>
          </a:r>
          <a:r>
            <a:rPr lang="en-US" sz="1400" b="1" baseline="0"/>
            <a:t> at Discharge </a:t>
          </a:r>
          <a:endParaRPr lang="en-US" sz="14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loud" refreshedDate="46056.991362731482" createdVersion="8" refreshedVersion="8" minRefreshableVersion="3" recordCount="1335" xr:uid="{733F3C6E-98D6-4648-BDB4-1267DD076BB4}">
  <cacheSource type="worksheet">
    <worksheetSource name="Cardiac_Table"/>
  </cacheSource>
  <cacheFields count="16">
    <cacheField name="ID Number" numFmtId="0">
      <sharedItems containsSemiMixedTypes="0" containsString="0" containsNumber="1" containsInteger="1" minValue="2" maxValue="1347"/>
    </cacheField>
    <cacheField name="Hospital Admit Date " numFmtId="22">
      <sharedItems containsSemiMixedTypes="0" containsNonDate="0" containsDate="1" containsString="0" minDate="2019-12-22T12:50:00" maxDate="2020-12-30T06:36:00" count="1202">
        <d v="2020-01-01T14:15:00"/>
        <d v="2020-01-01T13:20:00"/>
        <d v="2020-01-01T21:56:00"/>
        <d v="2020-01-02T16:00:00"/>
        <d v="2020-01-01T11:00:00"/>
        <d v="2019-12-28T09:35:00"/>
        <d v="2019-12-22T12:50:00"/>
        <d v="2020-01-03T16:00:00"/>
        <d v="2020-01-03T15:36:00"/>
        <d v="2020-01-03T13:30:00"/>
        <d v="2020-01-05T13:51:00"/>
        <d v="2020-01-05T14:00:00"/>
        <d v="2020-01-06T06:58:00"/>
        <d v="2020-01-05T11:00:00"/>
        <d v="2019-12-24T13:52:00"/>
        <d v="2020-01-06T11:00:00"/>
        <d v="2020-01-06T14:01:00"/>
        <d v="2019-12-31T11:00:00"/>
        <d v="2020-01-06T13:58:00"/>
        <d v="2019-12-29T10:10:00"/>
        <d v="2019-12-25T13:45:00"/>
        <d v="2020-01-07T10:49:00"/>
        <d v="2020-01-08T08:08:00"/>
        <d v="2020-01-07T13:44:00"/>
        <d v="2020-01-08T08:05:00"/>
        <d v="2020-01-06T18:00:00"/>
        <d v="2020-01-08T13:51:00"/>
        <d v="2019-12-31T10:15:00"/>
        <d v="2020-01-08T14:09:00"/>
        <d v="2020-01-09T07:50:00"/>
        <d v="2020-01-09T11:00:00"/>
        <d v="2020-01-09T13:29:00"/>
        <d v="2020-01-09T13:33:00"/>
        <d v="2020-01-09T14:21:00"/>
        <d v="2020-01-10T07:53:00"/>
        <d v="2020-01-10T07:39:00"/>
        <d v="2020-01-08T21:04:00"/>
        <d v="2020-01-10T16:00:00"/>
        <d v="2020-01-11T08:24:00"/>
        <d v="2020-01-12T14:00:00"/>
        <d v="2020-01-08T17:26:00"/>
        <d v="2020-01-13T08:27:00"/>
        <d v="2020-01-03T14:00:00"/>
        <d v="2020-01-12T10:59:00"/>
        <d v="2020-01-14T07:00:00"/>
        <d v="2020-01-13T14:01:00"/>
        <d v="2020-01-13T13:29:00"/>
        <d v="2020-01-13T11:00:00"/>
        <d v="2020-01-14T18:59:00"/>
        <d v="2020-01-12T11:00:00"/>
        <d v="2020-01-14T10:56:00"/>
        <d v="2020-01-15T08:15:00"/>
        <d v="2020-01-15T08:02:00"/>
        <d v="2020-01-14T16:02:00"/>
        <d v="2020-01-15T11:00:00"/>
        <d v="2020-01-15T19:00:00"/>
        <d v="2020-01-15T13:50:00"/>
        <d v="2020-01-15T10:41:00"/>
        <d v="2020-01-14T08:05:00"/>
        <d v="2020-01-15T14:39:00"/>
        <d v="2020-01-15T06:32:00"/>
        <d v="2020-01-14T10:42:00"/>
        <d v="2020-01-16T11:00:00"/>
        <d v="2020-01-13T10:46:00"/>
        <d v="2020-01-16T13:48:00"/>
        <d v="2020-01-16T13:33:00"/>
        <d v="2020-01-16T13:56:00"/>
        <d v="2020-01-17T16:00:00"/>
        <d v="2020-01-19T13:00:00"/>
        <d v="2020-01-19T14:00:00"/>
        <d v="2020-01-20T07:48:00"/>
        <d v="2020-01-08T17:28:00"/>
        <d v="2020-01-20T07:32:00"/>
        <d v="2020-01-10T14:30:00"/>
        <d v="2020-01-20T13:12:00"/>
        <d v="2020-01-20T13:46:00"/>
        <d v="2020-01-21T07:02:00"/>
        <d v="2020-01-21T07:47:00"/>
        <d v="2020-01-14T10:35:00"/>
        <d v="2020-01-21T07:32:00"/>
        <d v="2020-01-08T17:00:00"/>
        <d v="2020-01-21T13:25:00"/>
        <d v="2020-01-21T13:58:00"/>
        <d v="2020-01-22T08:03:00"/>
        <d v="2020-01-22T07:48:00"/>
        <d v="2020-01-22T13:35:00"/>
        <d v="2020-01-10T11:25:00"/>
        <d v="2020-01-22T14:07:00"/>
        <d v="2020-01-22T10:30:00"/>
        <d v="2020-01-23T07:51:00"/>
        <d v="2020-01-23T08:00:00"/>
        <d v="2020-01-23T14:14:00"/>
        <d v="2020-01-23T13:43:00"/>
        <d v="2020-01-23T10:51:00"/>
        <d v="2020-01-24T07:09:00"/>
        <d v="2020-01-24T08:00:00"/>
        <d v="2020-01-24T07:11:00"/>
        <d v="2020-01-24T16:00:00"/>
        <d v="2020-01-24T14:00:00"/>
        <d v="2020-01-26T13:39:00"/>
        <d v="2020-01-23T11:00:00"/>
        <d v="2020-01-26T14:00:00"/>
        <d v="2020-01-27T08:25:00"/>
        <d v="2020-01-27T07:53:00"/>
        <d v="2020-01-27T07:20:00"/>
        <d v="2020-01-27T07:30:00"/>
        <d v="2020-01-22T10:00:00"/>
        <d v="2020-01-27T14:04:00"/>
        <d v="2020-01-27T07:43:00"/>
        <d v="2020-01-27T14:00:00"/>
        <d v="2020-01-28T11:00:00"/>
        <d v="2020-01-28T13:30:00"/>
        <d v="2020-01-29T06:45:00"/>
        <d v="2020-01-30T07:55:00"/>
        <d v="2020-01-09T14:40:00"/>
        <d v="2020-01-29T10:04:00"/>
        <d v="2020-01-30T07:29:00"/>
        <d v="2020-01-29T14:51:00"/>
        <d v="2020-01-24T17:00:00"/>
        <d v="2020-01-30T13:26:00"/>
        <d v="2020-01-24T10:00:00"/>
        <d v="2020-01-30T11:00:00"/>
        <d v="2020-01-30T13:32:00"/>
        <d v="2020-01-31T14:01:00"/>
        <d v="2020-01-31T12:52:00"/>
        <d v="2020-01-30T12:35:00"/>
        <d v="2020-01-31T13:55:00"/>
        <d v="2020-01-31T15:31:00"/>
        <d v="2020-02-02T14:00:00"/>
        <d v="2020-02-02T14:24:00"/>
        <d v="2020-02-02T10:10:00"/>
        <d v="2020-02-03T10:59:00"/>
        <d v="2020-02-03T07:51:00"/>
        <d v="2020-02-03T14:00:00"/>
        <d v="2020-02-04T07:38:00"/>
        <d v="2020-02-04T07:23:00"/>
        <d v="2020-02-04T11:00:00"/>
        <d v="2020-02-03T14:19:00"/>
        <d v="2020-02-04T18:45:00"/>
        <d v="2020-02-05T06:41:00"/>
        <d v="2020-02-05T07:52:00"/>
        <d v="2020-02-05T07:47:00"/>
        <d v="2020-02-05T13:37:00"/>
        <d v="2020-02-05T13:05:00"/>
        <d v="2020-02-04T12:45:00"/>
        <d v="2020-02-06T08:01:00"/>
        <d v="2020-02-05T13:53:00"/>
        <d v="2020-01-31T10:00:00"/>
        <d v="2020-01-22T12:00:00"/>
        <d v="2020-02-06T11:00:00"/>
        <d v="2020-02-06T13:56:00"/>
        <d v="2020-02-07T08:05:00"/>
        <d v="2020-02-06T10:42:00"/>
        <d v="2020-02-07T16:00:00"/>
        <d v="2020-02-07T14:06:00"/>
        <d v="2020-02-09T14:00:00"/>
        <d v="2020-02-03T10:55:00"/>
        <d v="2020-02-10T06:59:00"/>
        <d v="2020-02-10T07:46:00"/>
        <d v="2020-02-09T11:00:00"/>
        <d v="2020-02-10T13:52:00"/>
        <d v="2020-02-10T11:00:00"/>
        <d v="2020-02-10T14:20:00"/>
        <d v="2020-02-10T10:32:00"/>
        <d v="2020-02-11T07:51:00"/>
        <d v="2020-02-11T07:14:00"/>
        <d v="2020-02-10T15:30:00"/>
        <d v="2020-02-11T13:59:00"/>
        <d v="2020-02-11T14:00:00"/>
        <d v="2020-01-17T20:11:00"/>
        <d v="2020-02-12T07:02:00"/>
        <d v="2020-02-12T08:00:00"/>
        <d v="2020-02-12T07:27:00"/>
        <d v="2020-02-13T03:47:00"/>
        <d v="2020-02-12T13:30:00"/>
        <d v="2020-02-12T10:40:00"/>
        <d v="2020-02-12T13:47:00"/>
        <d v="2020-02-10T19:57:00"/>
        <d v="2020-02-13T13:56:00"/>
        <d v="2020-02-02T18:30:00"/>
        <d v="2020-02-13T21:45:00"/>
        <d v="2020-02-14T07:23:00"/>
        <d v="2020-02-14T07:37:00"/>
        <d v="2020-02-13T10:55:00"/>
        <d v="2020-02-14T12:05:00"/>
        <d v="2020-02-14T15:00:00"/>
        <d v="2020-02-15T00:33:00"/>
        <d v="2020-02-16T14:00:00"/>
        <d v="2020-02-14T11:00:00"/>
        <d v="2020-02-16T14:17:00"/>
        <d v="2020-02-17T07:00:00"/>
        <d v="2020-02-17T13:04:00"/>
        <d v="2020-02-17T10:30:00"/>
        <d v="2020-02-17T13:27:00"/>
        <d v="2020-02-18T07:00:00"/>
        <d v="2020-02-18T07:48:00"/>
        <d v="2020-02-18T10:00:00"/>
        <d v="2020-02-18T13:40:00"/>
        <d v="2020-02-12T11:00:00"/>
        <d v="2020-02-18T15:24:00"/>
        <d v="2020-02-14T07:13:00"/>
        <d v="2020-02-19T13:28:00"/>
        <d v="2020-02-19T13:56:00"/>
        <d v="2020-02-19T11:00:00"/>
        <d v="2020-02-20T14:06:00"/>
        <d v="2020-02-20T14:12:00"/>
        <d v="2020-02-10T03:58:00"/>
        <d v="2020-02-21T16:00:00"/>
        <d v="2020-02-21T14:14:00"/>
        <d v="2020-02-21T14:15:00"/>
        <d v="2020-02-23T11:00:00"/>
        <d v="2020-02-23T13:58:00"/>
        <d v="2020-02-14T00:05:00"/>
        <d v="2020-02-23T10:40:00"/>
        <d v="2020-02-24T13:13:00"/>
        <d v="2020-02-24T11:17:00"/>
        <d v="2020-02-24T10:40:00"/>
        <d v="2020-02-24T13:39:00"/>
        <d v="2020-02-25T07:25:00"/>
        <d v="2020-02-25T10:59:00"/>
        <d v="2020-02-25T13:54:00"/>
        <d v="2020-02-25T15:21:00"/>
        <d v="2020-02-25T10:39:00"/>
        <d v="2020-02-25T15:56:00"/>
        <d v="2020-02-26T14:00:00"/>
        <d v="2020-02-13T12:00:00"/>
        <d v="2020-02-26T11:00:00"/>
        <d v="2020-02-24T10:06:00"/>
        <d v="2020-02-27T10:56:00"/>
        <d v="2020-02-28T14:00:00"/>
        <d v="2020-02-28T10:50:00"/>
        <d v="2020-02-28T14:23:00"/>
        <d v="2020-01-27T15:20:00"/>
        <d v="2020-03-01T14:00:00"/>
        <d v="2020-03-01T13:00:00"/>
        <d v="2020-03-02T07:20:00"/>
        <d v="2020-02-19T11:05:00"/>
        <d v="2020-03-02T07:32:00"/>
        <d v="2020-03-02T13:50:00"/>
        <d v="2020-03-02T14:04:00"/>
        <d v="2020-03-02T17:00:00"/>
        <d v="2020-03-03T07:49:00"/>
        <d v="2020-03-03T08:22:00"/>
        <d v="2020-03-03T08:03:00"/>
        <d v="2020-03-01T11:00:00"/>
        <d v="2020-03-03T13:34:00"/>
        <d v="2020-02-24T10:16:00"/>
        <d v="2020-03-04T06:36:00"/>
        <d v="2020-02-27T11:00:00"/>
        <d v="2020-03-03T10:25:00"/>
        <d v="2020-03-04T10:50:00"/>
        <d v="2020-03-05T13:45:00"/>
        <d v="2020-03-05T10:49:00"/>
        <d v="2020-03-02T11:00:00"/>
        <d v="2020-03-05T11:07:00"/>
        <d v="2020-03-06T08:06:00"/>
        <d v="2020-03-06T14:57:00"/>
        <d v="2020-03-06T14:33:00"/>
        <d v="2020-03-06T14:02:00"/>
        <d v="2020-02-26T13:00:00"/>
        <d v="2020-03-08T14:00:00"/>
        <d v="2020-03-08T13:00:00"/>
        <d v="2020-03-08T11:00:00"/>
        <d v="2020-03-09T08:00:00"/>
        <d v="2020-03-09T08:10:00"/>
        <d v="2020-03-09T07:50:00"/>
        <d v="2020-03-09T10:48:00"/>
        <d v="2020-03-09T10:42:00"/>
        <d v="2020-03-09T11:00:00"/>
        <d v="2020-03-09T17:00:00"/>
        <d v="2020-03-10T08:03:00"/>
        <d v="2020-03-09T13:19:00"/>
        <d v="2020-03-10T14:01:00"/>
        <d v="2020-03-10T11:00:00"/>
        <d v="2020-03-11T06:56:00"/>
        <d v="2020-03-11T07:50:00"/>
        <d v="2020-03-10T13:11:00"/>
        <d v="2020-03-11T15:40:00"/>
        <d v="2020-03-11T16:30:00"/>
        <d v="2020-03-11T14:30:00"/>
        <d v="2020-03-12T07:31:00"/>
        <d v="2020-03-12T08:50:00"/>
        <d v="2020-03-12T08:00:00"/>
        <d v="2020-03-12T07:56:00"/>
        <d v="2020-03-12T07:52:00"/>
        <d v="2020-03-11T14:15:00"/>
        <d v="2020-03-12T13:40:00"/>
        <d v="2020-03-13T06:57:00"/>
        <d v="2020-03-12T10:23:00"/>
        <d v="2020-03-12T12:37:00"/>
        <d v="2020-03-13T07:25:00"/>
        <d v="2020-03-13T15:50:00"/>
        <d v="2020-03-13T13:29:00"/>
        <d v="2020-03-01T12:00:00"/>
        <d v="2020-03-13T13:51:00"/>
        <d v="2020-03-13T10:52:00"/>
        <d v="2020-03-06T12:00:00"/>
        <d v="2020-03-15T14:00:00"/>
        <d v="2020-03-08T12:00:00"/>
        <d v="2020-03-15T16:00:00"/>
        <d v="2020-03-17T07:03:00"/>
        <d v="2020-03-15T15:30:00"/>
        <d v="2020-03-17T11:00:00"/>
        <d v="2020-03-03T10:30:00"/>
        <d v="2020-03-18T11:00:00"/>
        <d v="2020-03-15T10:00:00"/>
        <d v="2020-03-13T07:01:00"/>
        <d v="2020-03-17T14:10:00"/>
        <d v="2020-02-25T17:00:00"/>
        <d v="2020-03-10T10:00:00"/>
        <d v="2020-03-20T08:54:00"/>
        <d v="2020-03-22T13:30:00"/>
        <d v="2020-03-13T10:00:00"/>
        <d v="2020-03-05T13:58:00"/>
        <d v="2020-03-23T10:50:00"/>
        <d v="2020-03-24T14:00:00"/>
        <d v="2020-03-19T17:10:00"/>
        <d v="2020-03-20T08:05:00"/>
        <d v="2020-03-25T11:00:00"/>
        <d v="2020-03-26T13:25:00"/>
        <d v="2020-03-25T10:18:00"/>
        <d v="2020-03-26T10:26:00"/>
        <d v="2020-03-15T09:00:00"/>
        <d v="2020-03-29T11:00:00"/>
        <d v="2020-03-27T14:00:00"/>
        <d v="2020-03-30T11:00:00"/>
        <d v="2020-03-30T13:29:00"/>
        <d v="2020-03-30T10:40:00"/>
        <d v="2020-03-27T07:39:00"/>
        <d v="2020-04-01T11:00:00"/>
        <d v="2020-03-21T14:00:00"/>
        <d v="2020-04-05T22:30:00"/>
        <d v="2020-04-03T07:00:00"/>
        <d v="2020-03-31T10:00:00"/>
        <d v="2020-03-16T10:00:00"/>
        <d v="2020-04-07T11:00:00"/>
        <d v="2020-04-06T11:00:00"/>
        <d v="2020-04-12T10:00:00"/>
        <d v="2020-04-18T11:34:00"/>
        <d v="2020-04-19T14:00:00"/>
        <d v="2020-04-18T15:06:00"/>
        <d v="2020-04-18T22:32:00"/>
        <d v="2020-04-24T21:42:00"/>
        <d v="2020-04-25T12:50:00"/>
        <d v="2020-04-27T21:36:00"/>
        <d v="2020-04-29T07:00:00"/>
        <d v="2020-04-30T07:00:00"/>
        <d v="2020-05-02T11:47:00"/>
        <d v="2020-05-05T00:37:00"/>
        <d v="2020-05-06T07:00:00"/>
        <d v="2020-05-04T15:45:00"/>
        <d v="2020-05-07T13:18:00"/>
        <d v="2020-05-11T07:00:00"/>
        <d v="2020-05-09T15:03:00"/>
        <d v="2020-05-12T07:00:00"/>
        <d v="2020-05-09T10:27:00"/>
        <d v="2020-05-13T07:00:00"/>
        <d v="2020-05-12T11:00:00"/>
        <d v="2020-05-14T06:50:00"/>
        <d v="2020-05-15T07:00:00"/>
        <d v="2020-05-15T20:22:00"/>
        <d v="2020-05-14T11:00:00"/>
        <d v="2020-05-18T06:50:00"/>
        <d v="2020-05-19T07:00:00"/>
        <d v="2020-05-19T07:22:00"/>
        <d v="2020-05-20T07:20:00"/>
        <d v="2020-05-21T07:14:00"/>
        <d v="2020-05-22T07:01:00"/>
        <d v="2020-05-22T09:00:00"/>
        <d v="2020-05-20T16:00:00"/>
        <d v="2020-05-22T17:43:00"/>
        <d v="2020-05-23T08:38:00"/>
        <d v="2020-05-26T07:00:00"/>
        <d v="2020-05-24T10:00:00"/>
        <d v="2020-05-27T07:00:00"/>
        <d v="2020-05-16T18:23:00"/>
        <d v="2020-05-28T07:13:00"/>
        <d v="2020-05-29T07:09:00"/>
        <d v="2020-05-27T09:33:00"/>
        <d v="2020-06-01T07:12:00"/>
        <d v="2020-06-01T09:23:00"/>
        <d v="2020-06-01T15:27:00"/>
        <d v="2020-06-02T18:48:00"/>
        <d v="2020-06-01T10:26:00"/>
        <d v="2020-06-01T18:00:00"/>
        <d v="2020-06-02T14:00:00"/>
        <d v="2020-06-04T07:00:00"/>
        <d v="2020-05-29T09:07:00"/>
        <d v="2020-06-05T19:15:00"/>
        <d v="2020-06-02T14:59:00"/>
        <d v="2020-06-05T15:49:00"/>
        <d v="2020-05-28T11:00:00"/>
        <d v="2020-06-06T11:00:00"/>
        <d v="2020-06-08T07:00:00"/>
        <d v="2020-06-08T15:55:00"/>
        <d v="2020-05-28T18:02:00"/>
        <d v="2020-06-09T07:00:00"/>
        <d v="2020-06-10T07:00:00"/>
        <d v="2020-06-06T13:44:00"/>
        <d v="2020-06-04T10:00:00"/>
        <d v="2020-06-10T12:47:00"/>
        <d v="2020-06-08T13:10:00"/>
        <d v="2020-06-11T07:00:00"/>
        <d v="2020-06-09T11:00:00"/>
        <d v="2020-06-12T07:00:00"/>
        <d v="2020-06-09T10:00:00"/>
        <d v="2020-06-10T10:29:00"/>
        <d v="2020-06-12T09:41:00"/>
        <d v="2020-06-11T10:00:00"/>
        <d v="2020-06-12T21:30:00"/>
        <d v="2020-06-13T07:00:00"/>
        <d v="2020-06-12T10:59:00"/>
        <d v="2020-06-04T20:38:00"/>
        <d v="2020-06-15T07:00:00"/>
        <d v="2020-06-12T11:00:00"/>
        <d v="2020-06-05T10:00:00"/>
        <d v="2020-06-10T18:25:00"/>
        <d v="2020-06-16T07:00:00"/>
        <d v="2020-06-12T09:32:00"/>
        <d v="2020-06-14T20:43:00"/>
        <d v="2020-06-17T07:00:00"/>
        <d v="2020-06-18T07:00:00"/>
        <d v="2020-06-17T07:30:00"/>
        <d v="2020-06-19T07:00:00"/>
        <d v="2020-06-04T13:50:00"/>
        <d v="2020-06-20T07:00:00"/>
        <d v="2020-06-21T02:04:00"/>
        <d v="2020-06-20T11:00:00"/>
        <d v="2020-06-22T07:15:00"/>
        <d v="2020-06-22T07:06:00"/>
        <d v="2020-06-17T14:00:00"/>
        <d v="2020-06-22T20:00:00"/>
        <d v="2020-06-22T09:31:00"/>
        <d v="2020-06-23T07:05:00"/>
        <d v="2020-06-23T07:00:00"/>
        <d v="2020-06-23T07:12:00"/>
        <d v="2020-06-22T14:02:00"/>
        <d v="2020-06-24T06:30:00"/>
        <d v="2020-06-22T17:53:00"/>
        <d v="2020-06-25T07:00:00"/>
        <d v="2020-06-19T10:53:00"/>
        <d v="2020-06-19T19:05:00"/>
        <d v="2020-06-25T14:00:00"/>
        <d v="2020-06-26T07:00:00"/>
        <d v="2020-06-26T15:45:00"/>
        <d v="2020-06-24T10:51:00"/>
        <d v="2020-06-27T07:00:00"/>
        <d v="2020-06-26T10:00:00"/>
        <d v="2020-06-28T15:50:00"/>
        <d v="2020-06-29T07:00:00"/>
        <d v="2020-06-29T06:30:00"/>
        <d v="2020-06-29T14:11:00"/>
        <d v="2020-06-29T16:00:00"/>
        <d v="2020-06-27T14:30:00"/>
        <d v="2020-06-30T07:00:00"/>
        <d v="2020-06-30T06:00:00"/>
        <d v="2020-06-29T11:00:00"/>
        <d v="2020-06-30T13:00:00"/>
        <d v="2020-07-01T07:19:00"/>
        <d v="2020-07-01T11:19:00"/>
        <d v="2020-06-26T11:59:00"/>
        <d v="2020-07-02T07:00:00"/>
        <d v="2020-07-03T07:21:00"/>
        <d v="2020-06-23T11:00:00"/>
        <d v="2020-07-03T07:22:00"/>
        <d v="2020-07-03T07:20:00"/>
        <d v="2020-07-03T15:58:00"/>
        <d v="2020-07-04T15:28:00"/>
        <d v="2020-07-05T15:40:00"/>
        <d v="2020-07-03T11:00:00"/>
        <d v="2020-07-06T07:00:00"/>
        <d v="2020-07-06T16:13:00"/>
        <d v="2020-07-02T14:00:00"/>
        <d v="2020-07-06T16:00:00"/>
        <d v="2020-07-07T07:47:00"/>
        <d v="2020-07-07T07:33:00"/>
        <d v="2020-07-05T10:16:00"/>
        <d v="2020-07-07T14:20:00"/>
        <d v="2020-07-06T21:35:00"/>
        <d v="2020-07-08T07:10:00"/>
        <d v="2020-07-08T07:00:00"/>
        <d v="2020-07-08T06:45:00"/>
        <d v="2020-07-09T02:35:00"/>
        <d v="2020-07-08T15:35:00"/>
        <d v="2020-07-05T08:23:00"/>
        <d v="2020-07-08T15:46:00"/>
        <d v="2020-07-09T07:10:00"/>
        <d v="2020-07-07T11:08:00"/>
        <d v="2020-07-09T07:00:00"/>
        <d v="2020-07-09T15:56:00"/>
        <d v="2020-06-28T14:35:00"/>
        <d v="2020-07-08T10:24:00"/>
        <d v="2020-07-10T07:01:00"/>
        <d v="2020-07-10T06:57:00"/>
        <d v="2020-07-02T09:50:00"/>
        <d v="2020-07-10T14:15:00"/>
        <d v="2020-07-11T07:00:00"/>
        <d v="2020-07-12T13:50:00"/>
        <d v="2020-07-12T14:00:00"/>
        <d v="2020-07-10T10:36:00"/>
        <d v="2020-07-13T07:00:00"/>
        <d v="2020-07-12T11:00:00"/>
        <d v="2020-07-04T01:36:00"/>
        <d v="2020-07-13T15:57:00"/>
        <d v="2020-07-13T15:13:00"/>
        <d v="2020-07-14T07:00:00"/>
        <d v="2020-07-14T07:53:00"/>
        <d v="2020-07-13T11:40:00"/>
        <d v="2020-07-14T16:00:00"/>
        <d v="2020-07-15T07:10:00"/>
        <d v="2020-07-11T09:57:00"/>
        <d v="2020-07-14T11:00:00"/>
        <d v="2020-07-13T07:47:00"/>
        <d v="2020-07-16T07:00:00"/>
        <d v="2020-07-15T11:00:00"/>
        <d v="2020-07-16T14:00:00"/>
        <d v="2020-07-15T07:50:00"/>
        <d v="2020-07-17T07:00:00"/>
        <d v="2020-07-17T16:00:00"/>
        <d v="2020-07-17T14:30:00"/>
        <d v="2020-07-17T14:05:00"/>
        <d v="2020-07-18T08:52:00"/>
        <d v="2020-07-17T18:06:00"/>
        <d v="2020-07-16T15:00:00"/>
        <d v="2020-07-07T14:41:00"/>
        <d v="2020-07-19T16:00:00"/>
        <d v="2020-07-19T14:00:00"/>
        <d v="2020-07-20T07:00:00"/>
        <d v="2020-07-20T07:13:00"/>
        <d v="2020-07-20T07:11:00"/>
        <d v="2020-07-20T15:52:00"/>
        <d v="2020-07-10T21:44:00"/>
        <d v="2020-07-20T16:00:00"/>
        <d v="2020-07-20T15:42:00"/>
        <d v="2020-07-18T10:18:00"/>
        <d v="2020-07-21T07:08:00"/>
        <d v="2020-07-21T07:19:00"/>
        <d v="2020-07-21T07:40:00"/>
        <d v="2020-07-09T10:34:00"/>
        <d v="2020-07-20T15:15:00"/>
        <d v="2020-07-19T10:09:00"/>
        <d v="2020-07-22T07:00:00"/>
        <d v="2020-07-22T15:53:00"/>
        <d v="2020-07-21T11:09:00"/>
        <d v="2020-07-21T14:20:00"/>
        <d v="2020-07-22T16:00:00"/>
        <d v="2020-07-23T07:00:00"/>
        <d v="2020-07-19T09:00:00"/>
        <d v="2020-07-23T07:04:00"/>
        <d v="2020-07-22T11:00:00"/>
        <d v="2020-07-23T15:21:00"/>
        <d v="2020-07-24T07:00:00"/>
        <d v="2020-07-24T16:00:00"/>
        <d v="2020-07-24T14:00:00"/>
        <d v="2020-07-25T07:00:00"/>
        <d v="2020-07-25T06:35:00"/>
        <d v="2020-07-25T16:45:00"/>
        <d v="2020-07-26T16:00:00"/>
        <d v="2020-07-25T10:21:00"/>
        <d v="2020-07-27T13:58:00"/>
        <d v="2020-07-22T21:51:00"/>
        <d v="2020-07-27T16:00:00"/>
        <d v="2020-07-16T11:51:00"/>
        <d v="2020-07-28T11:22:00"/>
        <d v="2020-07-27T08:49:00"/>
        <d v="2020-07-28T07:00:00"/>
        <d v="2020-07-27T11:40:00"/>
        <d v="2020-07-28T16:14:00"/>
        <d v="2020-07-13T12:31:00"/>
        <d v="2020-07-29T07:22:00"/>
        <d v="2020-07-30T07:00:00"/>
        <d v="2020-07-30T06:55:00"/>
        <d v="2020-07-11T10:00:00"/>
        <d v="2020-07-30T20:46:00"/>
        <d v="2020-07-30T16:15:00"/>
        <d v="2020-07-30T16:01:00"/>
        <d v="2020-07-15T13:54:00"/>
        <d v="2020-07-31T07:00:00"/>
        <d v="2020-07-31T16:00:00"/>
        <d v="2020-07-25T15:40:00"/>
        <d v="2020-08-02T16:00:00"/>
        <d v="2020-08-02T15:00:00"/>
        <d v="2020-08-01T15:15:00"/>
        <d v="2020-07-26T11:00:00"/>
        <d v="2020-08-03T07:06:00"/>
        <d v="2020-08-03T07:04:00"/>
        <d v="2020-07-14T09:36:00"/>
        <d v="2020-08-03T11:43:00"/>
        <d v="2020-08-03T16:17:00"/>
        <d v="2020-08-03T16:00:00"/>
        <d v="2020-08-02T11:00:00"/>
        <d v="2020-08-03T16:09:00"/>
        <d v="2020-08-02T14:30:00"/>
        <d v="2020-08-04T07:05:00"/>
        <d v="2020-08-04T07:17:00"/>
        <d v="2020-08-04T15:52:00"/>
        <d v="2020-08-04T16:18:00"/>
        <d v="2020-08-04T08:45:00"/>
        <d v="2020-08-03T10:09:00"/>
        <d v="2020-08-04T15:06:00"/>
        <d v="2020-08-05T07:00:00"/>
        <d v="2020-08-03T10:11:00"/>
        <d v="2020-08-04T16:22:00"/>
        <d v="2020-08-01T01:06:00"/>
        <d v="2020-08-05T15:38:00"/>
        <d v="2020-08-06T06:00:00"/>
        <d v="2020-07-22T10:00:00"/>
        <d v="2020-06-27T18:48:00"/>
        <d v="2020-08-06T07:15:00"/>
        <d v="2020-07-30T13:00:00"/>
        <d v="2020-08-06T07:00:00"/>
        <d v="2020-08-06T16:11:00"/>
        <d v="2020-08-06T16:10:00"/>
        <d v="2020-08-07T07:00:00"/>
        <d v="2020-08-07T07:31:00"/>
        <d v="2020-08-07T13:50:00"/>
        <d v="2020-08-07T14:07:00"/>
        <d v="2020-08-09T11:21:00"/>
        <d v="2020-08-09T14:13:00"/>
        <d v="2020-08-09T13:56:00"/>
        <d v="2020-08-09T16:00:00"/>
        <d v="2020-08-10T07:00:00"/>
        <d v="2020-08-09T14:35:00"/>
        <d v="2020-08-05T12:56:00"/>
        <d v="2020-08-10T06:55:00"/>
        <d v="2020-08-08T12:17:00"/>
        <d v="2020-08-10T17:38:00"/>
        <d v="2020-08-09T11:00:00"/>
        <d v="2020-07-24T09:53:00"/>
        <d v="2020-08-10T16:05:00"/>
        <d v="2020-08-11T08:00:00"/>
        <d v="2020-07-29T11:00:00"/>
        <d v="2020-08-11T07:11:00"/>
        <d v="2020-08-11T09:32:00"/>
        <d v="2020-08-11T15:06:00"/>
        <d v="2020-08-11T16:00:00"/>
        <d v="2020-08-10T11:10:00"/>
        <d v="2020-08-11T15:50:00"/>
        <d v="2020-08-12T07:02:00"/>
        <d v="2020-08-12T07:06:00"/>
        <d v="2020-08-11T08:11:00"/>
        <d v="2020-08-11T13:13:00"/>
        <d v="2020-08-11T07:07:00"/>
        <d v="2020-08-13T07:03:00"/>
        <d v="2020-08-13T15:34:00"/>
        <d v="2020-08-13T07:01:00"/>
        <d v="2020-08-13T07:07:00"/>
        <d v="2020-08-14T14:00:00"/>
        <d v="2020-08-14T10:18:00"/>
        <d v="2020-08-14T15:52:00"/>
        <d v="2020-08-14T13:53:00"/>
        <d v="2020-08-15T16:16:00"/>
        <d v="2020-08-16T16:00:00"/>
        <d v="2020-08-12T15:30:00"/>
        <d v="2020-08-16T10:46:00"/>
        <d v="2020-08-16T15:00:00"/>
        <d v="2020-08-11T11:03:00"/>
        <d v="2020-08-17T07:00:00"/>
        <d v="2020-08-16T10:57:00"/>
        <d v="2020-08-15T12:47:00"/>
        <d v="2020-08-17T16:05:00"/>
        <d v="2020-08-16T10:49:00"/>
        <d v="2020-08-17T15:50:00"/>
        <d v="2020-08-16T14:00:00"/>
        <d v="2020-08-18T07:00:00"/>
        <d v="2020-08-17T16:22:00"/>
        <d v="2020-08-18T16:12:00"/>
        <d v="2020-08-17T10:18:00"/>
        <d v="2020-08-17T16:24:00"/>
        <d v="2020-08-18T15:44:00"/>
        <d v="2020-08-19T18:28:00"/>
        <d v="2020-08-19T16:00:00"/>
        <d v="2020-08-19T18:05:00"/>
        <d v="2020-08-20T06:53:00"/>
        <d v="2020-08-20T15:54:00"/>
        <d v="2020-08-17T13:05:00"/>
        <d v="2020-08-12T17:00:00"/>
        <d v="2020-08-21T07:00:00"/>
        <d v="2020-08-21T14:00:00"/>
        <d v="2020-08-21T13:50:00"/>
        <d v="2020-08-23T16:00:00"/>
        <d v="2020-08-23T15:55:00"/>
        <d v="2020-08-21T16:00:00"/>
        <d v="2020-08-22T13:45:00"/>
        <d v="2020-08-24T06:56:00"/>
        <d v="2020-08-25T07:14:00"/>
        <d v="2020-08-25T07:00:00"/>
        <d v="2020-08-19T06:30:00"/>
        <d v="2020-08-25T07:15:00"/>
        <d v="2020-08-25T07:10:00"/>
        <d v="2020-08-25T16:09:00"/>
        <d v="2020-08-16T15:59:00"/>
        <d v="2020-08-25T15:37:00"/>
        <d v="2020-08-25T15:34:00"/>
        <d v="2020-08-26T07:05:00"/>
        <d v="2020-08-26T06:59:00"/>
        <d v="2020-08-26T07:02:00"/>
        <d v="2020-08-26T15:46:00"/>
        <d v="2020-08-26T15:52:00"/>
        <d v="2020-08-25T15:52:00"/>
        <d v="2020-08-27T07:03:00"/>
        <d v="2020-08-25T13:30:00"/>
        <d v="2020-08-26T15:30:00"/>
        <d v="2020-08-25T16:19:00"/>
        <d v="2020-08-27T15:58:00"/>
        <d v="2020-08-25T22:48:00"/>
        <d v="2020-08-28T07:07:00"/>
        <d v="2020-08-26T14:00:00"/>
        <d v="2020-08-28T15:49:00"/>
        <d v="2020-08-28T16:00:00"/>
        <d v="2020-08-29T07:08:00"/>
        <d v="2020-08-29T06:58:00"/>
        <d v="2020-08-21T11:00:00"/>
        <d v="2020-08-30T14:00:00"/>
        <d v="2020-08-09T10:00:00"/>
        <d v="2020-09-01T07:45:00"/>
        <d v="2020-09-01T15:56:00"/>
        <d v="2020-09-01T16:00:00"/>
        <d v="2020-08-27T16:18:00"/>
        <d v="2020-09-02T07:07:00"/>
        <d v="2020-09-02T07:05:00"/>
        <d v="2020-09-02T07:55:00"/>
        <d v="2020-09-01T16:59:00"/>
        <d v="2020-09-02T14:46:00"/>
        <d v="2020-09-02T15:10:00"/>
        <d v="2020-09-03T07:07:00"/>
        <d v="2020-09-03T07:04:00"/>
        <d v="2020-09-03T07:12:00"/>
        <d v="2020-08-31T14:00:00"/>
        <d v="2020-09-03T14:55:00"/>
        <d v="2020-08-31T16:04:00"/>
        <d v="2020-08-24T11:44:00"/>
        <d v="2020-09-04T14:50:00"/>
        <d v="2020-09-04T15:57:00"/>
        <d v="2020-09-05T07:00:00"/>
        <d v="2020-09-06T16:00:00"/>
        <d v="2020-09-05T14:00:00"/>
        <d v="2020-09-07T07:00:00"/>
        <d v="2020-08-25T14:12:00"/>
        <d v="2020-09-07T06:00:00"/>
        <d v="2020-09-07T16:11:00"/>
        <d v="2020-09-07T16:05:00"/>
        <d v="2020-08-24T10:00:00"/>
        <d v="2020-09-07T16:16:00"/>
        <d v="2020-09-07T15:06:00"/>
        <d v="2020-09-08T07:00:00"/>
        <d v="2020-09-08T16:00:00"/>
        <d v="2020-09-08T16:06:00"/>
        <d v="2020-09-08T14:07:00"/>
        <d v="2020-09-07T11:00:00"/>
        <d v="2020-09-03T16:01:00"/>
        <d v="2020-09-09T07:00:00"/>
        <d v="2020-09-09T16:07:00"/>
        <d v="2020-09-09T16:00:00"/>
        <d v="2020-09-07T13:56:00"/>
        <d v="2020-09-10T07:00:00"/>
        <d v="2020-08-30T09:58:00"/>
        <d v="2020-09-09T11:50:00"/>
        <d v="2020-09-10T15:47:00"/>
        <d v="2020-09-09T13:20:00"/>
        <d v="2020-09-09T10:45:00"/>
        <d v="2020-09-10T17:15:00"/>
        <d v="2020-09-11T07:00:00"/>
        <d v="2020-09-11T07:26:00"/>
        <d v="2020-09-11T16:14:00"/>
        <d v="2020-09-13T16:00:00"/>
        <d v="2020-09-13T15:58:00"/>
        <d v="2020-09-13T15:40:00"/>
        <d v="2020-09-13T15:35:00"/>
        <d v="2020-09-07T16:00:00"/>
        <d v="2020-09-12T10:00:00"/>
        <d v="2020-09-12T13:40:00"/>
        <d v="2020-09-03T12:00:00"/>
        <d v="2020-09-12T10:55:00"/>
        <d v="2020-09-02T14:00:00"/>
        <d v="2020-09-13T11:00:00"/>
        <d v="2020-09-14T16:00:00"/>
        <d v="2020-09-06T12:47:00"/>
        <d v="2020-09-14T13:56:00"/>
        <d v="2020-09-13T10:00:00"/>
        <d v="2020-09-15T07:04:00"/>
        <d v="2020-09-15T15:33:00"/>
        <d v="2020-09-15T15:59:00"/>
        <d v="2020-09-12T10:21:00"/>
        <d v="2020-09-01T15:42:00"/>
        <d v="2020-09-16T07:18:00"/>
        <d v="2020-09-15T16:01:00"/>
        <d v="2020-09-10T12:05:00"/>
        <d v="2020-09-16T07:02:00"/>
        <d v="2020-09-16T16:00:00"/>
        <d v="2020-09-16T15:41:00"/>
        <d v="2020-09-16T16:06:00"/>
        <d v="2020-09-17T07:00:00"/>
        <d v="2020-09-15T16:32:00"/>
        <d v="2020-09-15T14:00:00"/>
        <d v="2020-09-17T15:58:00"/>
        <d v="2020-09-16T14:39:00"/>
        <d v="2020-09-17T16:13:00"/>
        <d v="2020-09-10T11:00:00"/>
        <d v="2020-09-18T07:00:00"/>
        <d v="2020-09-18T07:09:00"/>
        <d v="2020-09-18T14:14:00"/>
        <d v="2020-09-18T15:53:00"/>
        <d v="2020-09-18T14:07:00"/>
        <d v="2020-09-19T07:00:00"/>
        <d v="2020-09-20T15:40:00"/>
        <d v="2020-09-20T15:45:00"/>
        <d v="2020-09-20T16:00:00"/>
        <d v="2020-09-17T10:06:00"/>
        <d v="2020-09-21T07:00:00"/>
        <d v="2020-09-13T09:00:00"/>
        <d v="2020-09-21T16:00:00"/>
        <d v="2020-09-20T14:00:00"/>
        <d v="2020-09-10T09:55:00"/>
        <d v="2020-09-17T11:50:00"/>
        <d v="2020-09-20T15:50:00"/>
        <d v="2020-09-22T16:00:00"/>
        <d v="2020-09-18T21:27:00"/>
        <d v="2020-09-23T07:00:00"/>
        <d v="2020-09-22T16:59:00"/>
        <d v="2020-09-23T10:47:00"/>
        <d v="2020-09-23T15:35:00"/>
        <d v="2020-09-23T16:00:00"/>
        <d v="2020-09-22T13:30:00"/>
        <d v="2020-09-24T06:57:00"/>
        <d v="2020-09-24T15:31:00"/>
        <d v="2020-09-23T15:26:00"/>
        <d v="2020-09-21T14:00:00"/>
        <d v="2020-09-24T16:00:00"/>
        <d v="2020-09-25T07:12:00"/>
        <d v="2020-09-25T18:07:00"/>
        <d v="2020-09-25T13:59:00"/>
        <d v="2020-09-25T15:10:00"/>
        <d v="2020-09-25T16:00:00"/>
        <d v="2020-09-25T13:42:00"/>
        <d v="2020-09-25T17:33:00"/>
        <d v="2020-09-27T15:41:00"/>
        <d v="2020-09-27T16:00:00"/>
        <d v="2020-09-23T14:00:00"/>
        <d v="2020-09-27T15:58:00"/>
        <d v="2020-09-28T07:00:00"/>
        <d v="2020-09-19T10:00:00"/>
        <d v="2020-09-28T16:00:00"/>
        <d v="2020-09-24T17:00:00"/>
        <d v="2020-09-22T07:04:00"/>
        <d v="2020-09-28T15:40:00"/>
        <d v="2020-09-29T06:54:00"/>
        <d v="2020-09-29T15:59:00"/>
        <d v="2020-09-29T15:52:00"/>
        <d v="2020-09-28T15:33:00"/>
        <d v="2020-09-29T15:58:00"/>
        <d v="2020-09-30T07:00:00"/>
        <d v="2020-09-30T15:44:00"/>
        <d v="2020-09-29T17:10:00"/>
        <d v="2020-09-30T16:20:00"/>
        <d v="2020-09-24T11:11:00"/>
        <d v="2020-09-30T16:17:00"/>
        <d v="2020-10-01T07:13:00"/>
        <d v="2020-10-01T07:00:00"/>
        <d v="2020-10-01T16:07:00"/>
        <d v="2020-09-30T14:37:00"/>
        <d v="2020-10-01T16:00:00"/>
        <d v="2020-10-02T06:59:00"/>
        <d v="2020-10-02T07:00:00"/>
        <d v="2020-09-28T17:37:00"/>
        <d v="2020-10-02T15:47:00"/>
        <d v="2020-10-03T06:55:00"/>
        <d v="2020-10-03T10:00:00"/>
        <d v="2020-10-04T16:00:00"/>
        <d v="2020-10-04T15:23:00"/>
        <d v="2020-10-05T07:15:00"/>
        <d v="2020-10-05T07:00:00"/>
        <d v="2020-10-05T14:17:00"/>
        <d v="2020-10-06T07:09:00"/>
        <d v="2020-10-06T07:03:00"/>
        <d v="2020-10-06T07:15:00"/>
        <d v="2020-09-28T10:39:00"/>
        <d v="2020-10-06T15:57:00"/>
        <d v="2020-10-06T20:26:00"/>
        <d v="2020-10-04T08:30:00"/>
        <d v="2020-10-07T15:30:00"/>
        <d v="2020-10-07T14:00:00"/>
        <d v="2020-10-07T13:48:00"/>
        <d v="2020-10-08T07:00:00"/>
        <d v="2020-10-06T14:26:00"/>
        <d v="2020-10-08T07:18:00"/>
        <d v="2020-10-08T15:57:00"/>
        <d v="2020-09-27T10:20:00"/>
        <d v="2020-10-08T11:45:00"/>
        <d v="2020-10-08T15:54:00"/>
        <d v="2020-10-09T07:22:00"/>
        <d v="2020-10-09T07:19:00"/>
        <d v="2020-10-07T10:00:00"/>
        <d v="2020-09-22T12:22:00"/>
        <d v="2020-10-09T16:00:00"/>
        <d v="2020-10-09T14:08:00"/>
        <d v="2020-10-09T11:36:00"/>
        <d v="2020-10-10T07:12:00"/>
        <d v="2020-10-11T15:50:00"/>
        <d v="2020-10-11T16:00:00"/>
        <d v="2020-10-10T16:00:00"/>
        <d v="2020-10-12T06:57:00"/>
        <d v="2020-10-09T15:48:00"/>
        <d v="2020-09-30T15:00:00"/>
        <d v="2020-10-12T07:00:00"/>
        <d v="2020-10-12T06:53:00"/>
        <d v="2020-10-11T10:00:00"/>
        <d v="2020-10-11T14:00:00"/>
        <d v="2020-10-12T16:00:00"/>
        <d v="2020-10-13T07:01:00"/>
        <d v="2020-10-13T07:13:00"/>
        <d v="2020-10-13T07:07:00"/>
        <d v="2020-10-13T23:23:27"/>
        <d v="2020-10-07T08:49:00"/>
        <d v="2020-10-12T10:51:00"/>
        <d v="2020-10-14T06:59:00"/>
        <d v="2020-10-14T06:57:00"/>
        <d v="2020-10-13T09:27:00"/>
        <d v="2020-10-14T16:06:00"/>
        <d v="2020-09-30T10:44:00"/>
        <d v="2020-10-13T11:00:00"/>
        <d v="2020-10-14T15:58:00"/>
        <d v="2020-10-12T12:50:00"/>
        <d v="2020-10-15T07:12:00"/>
        <d v="2020-10-15T07:01:00"/>
        <d v="2020-10-09T10:00:00"/>
        <d v="2020-10-15T13:56:00"/>
        <d v="2020-10-15T15:54:00"/>
        <d v="2020-10-14T10:51:00"/>
        <d v="2020-10-16T07:21:00"/>
        <d v="2020-10-16T07:18:00"/>
        <d v="2020-10-15T06:58:00"/>
        <d v="2020-10-16T14:06:00"/>
        <d v="2020-10-16T16:00:00"/>
        <d v="2020-10-16T10:00:00"/>
        <d v="2020-10-16T13:56:00"/>
        <d v="2020-10-18T22:42:00"/>
        <d v="2020-10-18T15:51:00"/>
        <d v="2020-10-18T11:00:00"/>
        <d v="2020-10-09T14:14:00"/>
        <d v="2020-10-19T10:15:00"/>
        <d v="2020-10-19T07:00:00"/>
        <d v="2020-10-19T15:52:00"/>
        <d v="2020-10-19T00:27:00"/>
        <d v="2020-10-19T16:00:00"/>
        <d v="2020-10-11T12:00:00"/>
        <d v="2020-10-20T07:00:00"/>
        <d v="2020-10-19T15:56:00"/>
        <d v="2020-10-12T10:00:00"/>
        <d v="2020-10-08T14:30:00"/>
        <d v="2020-10-21T06:53:00"/>
        <d v="2020-10-14T11:30:00"/>
        <d v="2020-10-21T09:22:00"/>
        <d v="2020-10-21T07:00:00"/>
        <d v="2020-10-20T14:57:00"/>
        <d v="2020-10-16T12:00:00"/>
        <d v="2020-10-18T16:06:00"/>
        <d v="2020-10-20T12:58:00"/>
        <d v="2020-10-21T16:08:00"/>
        <d v="2020-10-21T16:13:00"/>
        <d v="2020-10-22T06:55:00"/>
        <d v="2020-10-14T12:00:00"/>
        <d v="2020-10-17T09:29:00"/>
        <d v="2020-10-22T16:59:00"/>
        <d v="2020-10-20T11:33:00"/>
        <d v="2020-10-21T19:27:00"/>
        <d v="2020-10-22T16:00:00"/>
        <d v="2020-10-22T17:23:00"/>
        <d v="2020-10-22T10:00:00"/>
        <d v="2020-10-23T20:10:00"/>
        <d v="2020-10-23T14:00:00"/>
        <d v="2020-10-24T11:00:00"/>
        <d v="2020-10-25T16:00:00"/>
        <d v="2020-10-24T07:00:00"/>
        <d v="2020-10-14T14:00:00"/>
        <d v="2020-10-25T15:50:00"/>
        <d v="2020-10-26T11:31:00"/>
        <d v="2020-10-26T14:00:00"/>
        <d v="2020-10-26T16:00:00"/>
        <d v="2020-10-21T13:10:00"/>
        <d v="2020-10-27T07:00:00"/>
        <d v="2020-10-24T13:50:00"/>
        <d v="2020-10-26T11:00:00"/>
        <d v="2020-10-27T16:10:00"/>
        <d v="2020-10-27T15:52:00"/>
        <d v="2020-10-26T10:37:00"/>
        <d v="2020-10-16T17:05:00"/>
        <d v="2020-10-28T12:03:00"/>
        <d v="2020-10-28T13:30:00"/>
        <d v="2020-10-27T18:44:00"/>
        <d v="2020-10-28T10:32:00"/>
        <d v="2020-10-29T07:11:00"/>
        <d v="2020-10-25T09:00:00"/>
        <d v="2020-10-29T15:59:00"/>
        <d v="2020-10-28T18:33:00"/>
        <d v="2020-10-20T10:43:00"/>
        <d v="2020-10-30T07:00:00"/>
        <d v="2020-10-29T15:53:00"/>
        <d v="2020-10-30T19:28:00"/>
        <d v="2020-10-30T14:52:00"/>
        <d v="2020-10-30T16:08:00"/>
        <d v="2020-10-30T14:36:00"/>
        <d v="2020-10-30T13:44:00"/>
        <d v="2020-10-29T12:00:00"/>
        <d v="2020-11-02T01:36:00"/>
        <d v="2020-11-01T16:00:00"/>
        <d v="2020-11-02T12:13:00"/>
        <d v="2020-10-31T20:22:00"/>
        <d v="2020-11-01T14:00:00"/>
        <d v="2020-11-02T16:00:00"/>
        <d v="2020-11-03T12:44:00"/>
        <d v="2020-10-27T20:59:00"/>
        <d v="2020-11-02T13:40:00"/>
        <d v="2020-11-03T16:28:00"/>
        <d v="2020-10-30T17:00:00"/>
        <d v="2020-11-04T16:00:00"/>
        <d v="2020-11-02T09:54:00"/>
        <d v="2020-11-03T14:00:00"/>
        <d v="2020-11-05T16:00:00"/>
        <d v="2020-10-31T13:13:00"/>
        <d v="2020-11-02T13:50:00"/>
        <d v="2020-11-05T17:00:00"/>
        <d v="2020-11-05T07:00:00"/>
        <d v="2020-11-06T14:00:00"/>
        <d v="2020-11-07T07:00:00"/>
        <d v="2020-11-08T16:00:00"/>
        <d v="2020-11-08T14:00:00"/>
        <d v="2020-11-01T10:10:00"/>
        <d v="2020-11-01T12:00:00"/>
        <d v="2020-11-07T10:30:00"/>
        <d v="2020-11-09T16:15:00"/>
        <d v="2020-10-25T15:53:00"/>
        <d v="2020-11-11T15:43:00"/>
        <d v="2020-11-11T16:09:00"/>
        <d v="2020-11-09T11:08:00"/>
        <d v="2020-11-11T15:17:00"/>
        <d v="2020-10-18T00:17:00"/>
        <d v="2020-11-12T06:45:00"/>
        <d v="2020-11-12T16:29:00"/>
        <d v="2020-11-12T16:00:00"/>
        <d v="2020-11-09T11:23:00"/>
        <d v="2020-11-07T10:20:00"/>
        <d v="2020-11-11T13:31:00"/>
        <d v="2020-11-13T06:40:00"/>
        <d v="2020-11-13T16:01:00"/>
        <d v="2020-11-14T07:00:00"/>
        <d v="2020-11-15T16:00:00"/>
        <d v="2020-11-16T08:23:00"/>
        <d v="2020-10-28T10:00:00"/>
        <d v="2020-11-15T14:00:00"/>
        <d v="2020-11-16T14:09:00"/>
        <d v="2020-11-16T16:00:00"/>
        <d v="2020-11-06T10:00:00"/>
        <d v="2020-11-17T07:00:00"/>
        <d v="2020-11-17T16:00:00"/>
        <d v="2020-11-17T15:00:00"/>
        <d v="2020-11-04T11:22:00"/>
        <d v="2020-11-18T08:35:00"/>
        <d v="2020-11-05T14:36:00"/>
        <d v="2020-11-18T16:00:00"/>
        <d v="2020-11-18T14:18:00"/>
        <d v="2020-11-17T14:34:00"/>
        <d v="2020-11-17T13:25:00"/>
        <d v="2020-11-19T07:11:00"/>
        <d v="2020-11-19T07:07:00"/>
        <d v="2020-11-19T07:03:00"/>
        <d v="2020-11-20T02:09:00"/>
        <d v="2020-11-19T16:00:00"/>
        <d v="2020-11-15T11:29:00"/>
        <d v="2020-11-18T11:00:00"/>
        <d v="2020-11-20T07:04:00"/>
        <d v="2020-11-20T14:24:00"/>
        <d v="2020-11-20T14:04:00"/>
        <d v="2020-11-07T11:00:00"/>
        <d v="2020-11-19T16:10:00"/>
        <d v="2020-11-22T15:59:00"/>
        <d v="2020-11-22T16:00:00"/>
        <d v="2020-11-22T15:57:00"/>
        <d v="2020-11-15T10:00:00"/>
        <d v="2020-11-14T10:00:00"/>
        <d v="2020-11-13T13:00:00"/>
        <d v="2020-11-09T11:00:00"/>
        <d v="2020-11-23T16:00:00"/>
        <d v="2020-11-17T13:00:00"/>
        <d v="2020-11-24T07:17:00"/>
        <d v="2020-11-24T07:16:00"/>
        <d v="2020-11-18T14:00:00"/>
        <d v="2020-11-24T06:57:00"/>
        <d v="2020-11-24T15:00:00"/>
        <d v="2020-11-24T16:00:00"/>
        <d v="2020-11-24T15:50:00"/>
        <d v="2020-11-24T11:00:00"/>
        <d v="2020-11-25T07:03:00"/>
        <d v="2020-11-25T07:08:00"/>
        <d v="2020-11-25T15:50:00"/>
        <d v="2020-11-25T16:00:00"/>
        <d v="2020-11-26T06:55:00"/>
        <d v="2020-11-20T12:06:00"/>
        <d v="2020-11-25T15:06:00"/>
        <d v="2020-11-27T07:11:00"/>
        <d v="2020-11-26T11:00:00"/>
        <d v="2020-11-27T16:00:00"/>
        <d v="2020-11-28T07:00:00"/>
        <d v="2020-11-29T13:47:00"/>
        <d v="2020-11-29T16:00:00"/>
        <d v="2020-11-29T15:00:00"/>
        <d v="2020-11-26T16:00:00"/>
        <d v="2020-11-30T16:18:00"/>
        <d v="2020-11-28T13:00:00"/>
        <d v="2020-11-29T14:00:00"/>
        <d v="2020-11-29T09:32:00"/>
        <d v="2020-12-01T07:00:00"/>
        <d v="2020-12-01T15:46:00"/>
        <d v="2020-11-19T12:00:00"/>
        <d v="2020-12-01T13:30:00"/>
        <d v="2020-12-02T07:00:00"/>
        <d v="2020-12-01T13:31:00"/>
        <d v="2020-12-02T14:49:00"/>
        <d v="2020-11-24T09:35:00"/>
        <d v="2020-12-02T15:34:00"/>
        <d v="2020-12-01T13:00:00"/>
        <d v="2020-12-03T07:20:00"/>
        <d v="2020-12-03T16:01:00"/>
        <d v="2020-12-03T16:08:00"/>
        <d v="2020-11-27T10:18:00"/>
        <d v="2020-12-03T13:38:00"/>
        <d v="2020-12-02T12:53:00"/>
        <d v="2020-12-02T10:18:00"/>
        <d v="2020-12-04T07:11:00"/>
        <d v="2020-12-04T15:36:00"/>
        <d v="2020-12-04T13:06:00"/>
        <d v="2020-12-06T16:00:00"/>
        <d v="2020-12-06T15:50:00"/>
        <d v="2020-12-05T11:20:00"/>
        <d v="2020-12-06T13:00:00"/>
        <d v="2020-12-07T07:10:00"/>
        <d v="2020-12-05T14:00:00"/>
        <d v="2020-12-06T13:04:00"/>
        <d v="2020-12-07T16:30:00"/>
        <d v="2020-12-07T16:00:00"/>
        <d v="2020-12-08T07:07:00"/>
        <d v="2020-12-08T07:26:00"/>
        <d v="2020-12-08T07:05:00"/>
        <d v="2020-11-28T09:15:00"/>
        <d v="2020-12-08T16:00:00"/>
        <d v="2020-12-08T14:04:00"/>
        <d v="2020-12-09T15:43:00"/>
        <d v="2020-12-09T15:59:00"/>
        <d v="2020-12-10T06:00:00"/>
        <d v="2020-11-19T10:53:00"/>
        <d v="2020-12-10T07:00:00"/>
        <d v="2020-12-09T17:13:00"/>
        <d v="2020-12-09T09:47:00"/>
        <d v="2020-12-10T16:22:00"/>
        <d v="2020-12-10T16:00:00"/>
        <d v="2020-12-09T14:27:00"/>
        <d v="2020-12-11T07:03:00"/>
        <d v="2020-12-11T07:05:00"/>
        <d v="2020-12-11T07:59:00"/>
        <d v="2020-12-11T07:20:00"/>
        <d v="2020-12-11T15:55:00"/>
        <d v="2020-12-09T12:00:00"/>
        <d v="2020-12-12T07:51:00"/>
        <d v="2020-12-13T16:00:00"/>
        <d v="2020-12-13T14:07:00"/>
        <d v="2020-12-09T11:06:00"/>
        <d v="2020-12-03T20:41:00"/>
        <d v="2020-12-03T10:01:00"/>
        <d v="2020-12-14T16:00:00"/>
        <d v="2020-12-14T15:53:00"/>
        <d v="2020-12-15T07:09:00"/>
        <d v="2020-12-14T13:30:00"/>
        <d v="2020-12-14T14:00:00"/>
        <d v="2020-12-15T16:00:00"/>
        <d v="2020-12-16T07:00:00"/>
        <d v="2020-12-10T17:22:00"/>
        <d v="2020-12-16T16:00:00"/>
        <d v="2020-12-17T04:48:00"/>
        <d v="2020-12-17T07:03:00"/>
        <d v="2020-12-17T14:00:00"/>
        <d v="2020-12-17T18:00:00"/>
        <d v="2020-12-18T16:00:00"/>
        <d v="2020-12-20T12:21:00"/>
        <d v="2020-12-20T13:00:00"/>
        <d v="2020-12-20T16:05:00"/>
        <d v="2020-12-21T07:00:00"/>
        <d v="2020-12-16T13:00:00"/>
        <d v="2020-12-11T18:00:00"/>
        <d v="2020-12-21T16:00:00"/>
        <d v="2020-12-22T07:00:00"/>
        <d v="2020-12-16T12:21:00"/>
        <d v="2020-12-21T10:26:00"/>
        <d v="2020-12-23T07:00:00"/>
        <d v="2020-12-23T10:52:00"/>
        <d v="2020-12-22T17:29:00"/>
        <d v="2020-12-26T00:22:00"/>
        <d v="2020-12-26T19:04:00"/>
        <d v="2020-12-28T13:43:00"/>
        <d v="2020-12-28T16:00:00"/>
        <d v="2020-12-27T14:00:00"/>
        <d v="2020-12-30T06:36:00"/>
        <d v="2020-12-29T07:00:00"/>
      </sharedItems>
    </cacheField>
    <cacheField name="Procedure Start Date and Time" numFmtId="22">
      <sharedItems containsSemiMixedTypes="0" containsNonDate="0" containsDate="1" containsString="0" minDate="2020-01-02T08:04:00" maxDate="2020-12-30T13:33:00" count="1292">
        <d v="2020-01-02T08:04:00"/>
        <d v="2020-01-02T08:05:00"/>
        <d v="2020-01-02T08:31:00"/>
        <d v="2020-01-03T07:50:00"/>
        <d v="2020-01-03T07:57:00"/>
        <d v="2020-01-03T08:11:00"/>
        <d v="2020-01-03T14:50:00"/>
        <d v="2020-01-04T07:54:00"/>
        <d v="2020-01-04T08:15:00"/>
        <d v="2020-01-04T12:21:00"/>
        <d v="2020-01-04T12:47:00"/>
        <d v="2020-01-06T07:50:00"/>
        <d v="2020-01-06T08:06:00"/>
        <d v="2020-01-06T09:00:00"/>
        <d v="2020-01-06T10:40:00"/>
        <d v="2020-01-06T14:23:00"/>
        <d v="2020-01-06T14:45:00"/>
        <d v="2020-01-07T07:45:00"/>
        <d v="2020-01-07T08:02:00"/>
        <d v="2020-01-07T08:05:00"/>
        <d v="2020-01-07T08:30:00"/>
        <d v="2020-01-07T14:51:00"/>
        <d v="2020-01-08T07:50:00"/>
        <d v="2020-01-08T08:00:00"/>
        <d v="2020-01-08T08:18:00"/>
        <d v="2020-01-08T13:56:00"/>
        <d v="2020-01-08T13:57:00"/>
        <d v="2020-01-08T14:30:00"/>
        <d v="2020-01-08T16:09:00"/>
        <d v="2020-01-09T08:05:00"/>
        <d v="2020-01-09T08:13:00"/>
        <d v="2020-01-09T14:13:00"/>
        <d v="2020-01-09T15:53:00"/>
        <d v="2020-01-10T08:04:00"/>
        <d v="2020-01-10T08:10:00"/>
        <d v="2020-01-10T08:25:00"/>
        <d v="2020-01-10T11:41:00"/>
        <d v="2020-01-10T12:35:00"/>
        <d v="2020-01-10T13:55:00"/>
        <d v="2020-01-10T18:18:00"/>
        <d v="2020-01-11T07:55:00"/>
        <d v="2020-01-11T12:35:00"/>
        <d v="2020-01-13T07:55:00"/>
        <d v="2020-01-13T08:29:00"/>
        <d v="2020-01-13T08:50:00"/>
        <d v="2020-01-13T13:22:00"/>
        <d v="2020-01-13T13:56:00"/>
        <d v="2020-01-13T14:42:00"/>
        <d v="2020-01-14T07:51:00"/>
        <d v="2020-01-14T07:55:00"/>
        <d v="2020-01-14T08:00:00"/>
        <d v="2020-01-14T08:18:00"/>
        <d v="2020-01-14T19:10:00"/>
        <d v="2020-01-15T07:55:00"/>
        <d v="2020-01-15T08:01:00"/>
        <d v="2020-01-15T13:05:00"/>
        <d v="2020-01-15T13:40:00"/>
        <d v="2020-01-15T14:25:00"/>
        <d v="2020-01-16T08:07:00"/>
        <d v="2020-01-16T08:12:00"/>
        <d v="2020-01-16T08:17:00"/>
        <d v="2020-01-16T08:18:00"/>
        <d v="2020-01-16T08:38:00"/>
        <d v="2020-01-16T11:56:00"/>
        <d v="2020-01-16T12:44:00"/>
        <d v="2020-01-16T13:35:00"/>
        <d v="2020-01-17T07:59:00"/>
        <d v="2020-01-17T08:07:00"/>
        <d v="2020-01-17T08:17:00"/>
        <d v="2020-01-17T11:45:00"/>
        <d v="2020-01-17T13:21:00"/>
        <d v="2020-01-17T14:39:00"/>
        <d v="2020-01-18T08:20:00"/>
        <d v="2020-01-20T08:05:00"/>
        <d v="2020-01-20T08:11:00"/>
        <d v="2020-01-20T10:15:00"/>
        <d v="2020-01-20T12:01:00"/>
        <d v="2020-01-20T13:07:00"/>
        <d v="2020-01-20T15:06:00"/>
        <d v="2020-01-21T08:05:00"/>
        <d v="2020-01-21T08:14:00"/>
        <d v="2020-01-21T08:20:00"/>
        <d v="2020-01-21T08:51:00"/>
        <d v="2020-01-21T08:58:00"/>
        <d v="2020-01-21T14:13:00"/>
        <d v="2020-01-22T08:13:00"/>
        <d v="2020-01-22T08:18:00"/>
        <d v="2020-01-22T08:30:00"/>
        <d v="2020-01-22T10:45:00"/>
        <d v="2020-01-22T15:52:00"/>
        <d v="2020-01-23T08:02:00"/>
        <d v="2020-01-23T08:16:00"/>
        <d v="2020-01-23T08:22:00"/>
        <d v="2020-01-23T08:23:00"/>
        <d v="2020-01-23T12:10:00"/>
        <d v="2020-01-23T13:33:00"/>
        <d v="2020-01-24T07:57:00"/>
        <d v="2020-01-24T07:58:00"/>
        <d v="2020-01-24T08:07:00"/>
        <d v="2020-01-24T09:05:00"/>
        <d v="2020-01-24T12:40:00"/>
        <d v="2020-01-24T13:06:00"/>
        <d v="2020-01-25T08:00:00"/>
        <d v="2020-01-25T13:42:00"/>
        <d v="2020-01-27T07:54:00"/>
        <d v="2020-01-27T07:59:00"/>
        <d v="2020-01-27T08:30:00"/>
        <d v="2020-01-27T10:37:00"/>
        <d v="2020-01-27T12:39:00"/>
        <d v="2020-01-27T13:10:00"/>
        <d v="2020-01-27T14:42:00"/>
        <d v="2020-01-27T14:53:00"/>
        <d v="2020-01-28T08:10:00"/>
        <d v="2020-01-28T08:19:00"/>
        <d v="2020-01-28T08:26:00"/>
        <d v="2020-01-28T08:27:00"/>
        <d v="2020-01-29T08:18:00"/>
        <d v="2020-01-29T08:24:00"/>
        <d v="2020-01-29T08:45:00"/>
        <d v="2020-01-30T08:48:00"/>
        <d v="2020-01-30T12:31:00"/>
        <d v="2020-01-30T12:54:00"/>
        <d v="2020-01-30T13:09:00"/>
        <d v="2020-01-30T13:20:00"/>
        <d v="2020-01-31T08:00:00"/>
        <d v="2020-01-31T08:10:00"/>
        <d v="2020-01-31T08:17:00"/>
        <d v="2020-01-31T08:20:00"/>
        <d v="2020-01-31T13:40:00"/>
        <d v="2020-02-01T07:58:00"/>
        <d v="2020-02-01T08:19:00"/>
        <d v="2020-02-01T11:25:00"/>
        <d v="2020-02-01T12:50:00"/>
        <d v="2020-02-02T10:20:00"/>
        <d v="2020-02-03T10:05:00"/>
        <d v="2020-02-03T12:20:00"/>
        <d v="2020-02-03T13:36:00"/>
        <d v="2020-02-03T14:05:00"/>
        <d v="2020-02-03T15:11:00"/>
        <d v="2020-02-04T08:10:00"/>
        <d v="2020-02-04T08:14:00"/>
        <d v="2020-02-04T08:15:00"/>
        <d v="2020-02-04T13:32:00"/>
        <d v="2020-02-04T13:35:00"/>
        <d v="2020-02-05T08:12:00"/>
        <d v="2020-02-05T08:16:00"/>
        <d v="2020-02-05T08:35:00"/>
        <d v="2020-02-05T08:50:00"/>
        <d v="2020-02-05T13:45:00"/>
        <d v="2020-02-05T15:40:00"/>
        <d v="2020-02-06T08:00:00"/>
        <d v="2020-02-06T08:05:00"/>
        <d v="2020-02-06T08:23:00"/>
        <d v="2020-02-06T09:30:00"/>
        <d v="2020-02-06T14:35:00"/>
        <d v="2020-02-06T14:50:00"/>
        <d v="2020-02-07T08:16:00"/>
        <d v="2020-02-07T09:38:00"/>
        <d v="2020-02-07T09:45:00"/>
        <d v="2020-02-07T14:23:00"/>
        <d v="2020-02-08T08:04:00"/>
        <d v="2020-02-08T11:48:00"/>
        <d v="2020-02-10T08:02:00"/>
        <d v="2020-02-10T08:05:00"/>
        <d v="2020-02-10T08:07:00"/>
        <d v="2020-02-10T08:21:00"/>
        <d v="2020-02-10T13:30:00"/>
        <d v="2020-02-10T13:43:00"/>
        <d v="2020-02-10T13:56:00"/>
        <d v="2020-02-11T07:59:00"/>
        <d v="2020-02-11T08:10:00"/>
        <d v="2020-02-11T08:14:00"/>
        <d v="2020-02-11T08:52:00"/>
        <d v="2020-02-11T13:45:00"/>
        <d v="2020-02-11T14:15:00"/>
        <d v="2020-02-11T15:52:00"/>
        <d v="2020-02-12T08:05:00"/>
        <d v="2020-02-12T08:20:00"/>
        <d v="2020-02-12T08:25:00"/>
        <d v="2020-02-12T08:34:00"/>
        <d v="2020-02-12T13:29:00"/>
        <d v="2020-02-12T13:49:00"/>
        <d v="2020-02-13T05:50:00"/>
        <d v="2020-02-13T08:23:00"/>
        <d v="2020-02-13T08:24:00"/>
        <d v="2020-02-13T08:27:00"/>
        <d v="2020-02-13T08:50:00"/>
        <d v="2020-02-14T08:05:00"/>
        <d v="2020-02-14T08:26:00"/>
        <d v="2020-02-14T11:01:00"/>
        <d v="2020-02-14T13:10:00"/>
        <d v="2020-02-14T14:30:00"/>
        <d v="2020-02-14T15:44:00"/>
        <d v="2020-02-15T07:51:00"/>
        <d v="2020-02-15T08:28:00"/>
        <d v="2020-02-15T12:39:00"/>
        <d v="2020-02-17T07:55:00"/>
        <d v="2020-02-17T08:04:00"/>
        <d v="2020-02-17T08:07:00"/>
        <d v="2020-02-17T08:10:00"/>
        <d v="2020-02-17T09:12:00"/>
        <d v="2020-02-17T13:16:00"/>
        <d v="2020-02-17T15:10:00"/>
        <d v="2020-02-18T08:00:00"/>
        <d v="2020-02-18T08:13:00"/>
        <d v="2020-02-18T11:23:00"/>
        <d v="2020-02-18T14:38:00"/>
        <d v="2020-02-19T07:45:00"/>
        <d v="2020-02-19T08:10:00"/>
        <d v="2020-02-19T08:13:00"/>
        <d v="2020-02-19T08:14:00"/>
        <d v="2020-02-19T13:48:00"/>
        <d v="2020-02-20T08:05:00"/>
        <d v="2020-02-20T08:25:00"/>
        <d v="2020-02-20T10:39:00"/>
        <d v="2020-02-20T10:47:00"/>
        <d v="2020-02-21T08:12:00"/>
        <d v="2020-02-21T09:18:00"/>
        <d v="2020-02-21T09:26:00"/>
        <d v="2020-02-22T07:55:00"/>
        <d v="2020-02-22T08:04:00"/>
        <d v="2020-02-22T11:51:00"/>
        <d v="2020-02-22T12:42:00"/>
        <d v="2020-02-24T07:55:00"/>
        <d v="2020-02-24T08:40:00"/>
        <d v="2020-02-24T08:44:00"/>
        <d v="2020-02-24T12:15:00"/>
        <d v="2020-02-24T13:27:00"/>
        <d v="2020-02-25T07:55:00"/>
        <d v="2020-02-25T08:14:00"/>
        <d v="2020-02-25T08:27:00"/>
        <d v="2020-02-25T08:29:00"/>
        <d v="2020-02-25T14:14:00"/>
        <d v="2020-02-26T08:19:00"/>
        <d v="2020-02-26T08:36:00"/>
        <d v="2020-02-26T09:37:00"/>
        <d v="2020-02-26T12:06:00"/>
        <d v="2020-02-26T14:56:00"/>
        <d v="2020-02-27T08:00:00"/>
        <d v="2020-02-27T11:10:00"/>
        <d v="2020-02-27T13:01:00"/>
        <d v="2020-02-27T13:39:00"/>
        <d v="2020-02-28T12:14:00"/>
        <d v="2020-02-29T08:00:00"/>
        <d v="2020-02-29T08:10:00"/>
        <d v="2020-02-29T08:59:00"/>
        <d v="2020-03-02T07:55:00"/>
        <d v="2020-03-02T08:05:00"/>
        <d v="2020-03-02T08:10:00"/>
        <d v="2020-03-02T08:15:00"/>
        <d v="2020-03-02T08:19:00"/>
        <d v="2020-03-02T13:00:00"/>
        <d v="2020-03-02T13:25:00"/>
        <d v="2020-03-02T14:43:00"/>
        <d v="2020-03-03T07:55:00"/>
        <d v="2020-03-03T08:00:00"/>
        <d v="2020-03-03T08:05:00"/>
        <d v="2020-03-03T08:20:00"/>
        <d v="2020-03-03T12:00:00"/>
        <d v="2020-03-03T14:10:00"/>
        <d v="2020-03-03T14:41:00"/>
        <d v="2020-03-03T15:01:00"/>
        <d v="2020-03-04T07:54:00"/>
        <d v="2020-03-04T08:00:00"/>
        <d v="2020-03-04T08:15:00"/>
        <d v="2020-03-04T08:17:00"/>
        <d v="2020-03-05T07:55:00"/>
        <d v="2020-03-05T08:07:00"/>
        <d v="2020-03-05T13:57:00"/>
        <d v="2020-03-06T08:00:00"/>
        <d v="2020-03-06T08:11:00"/>
        <d v="2020-03-06T09:30:00"/>
        <d v="2020-03-06T12:31:00"/>
        <d v="2020-03-06T13:00:00"/>
        <d v="2020-03-07T08:00:00"/>
        <d v="2020-03-07T08:05:00"/>
        <d v="2020-03-07T11:56:00"/>
        <d v="2020-03-09T08:10:00"/>
        <d v="2020-03-09T08:15:00"/>
        <d v="2020-03-09T08:23:00"/>
        <d v="2020-03-09T10:15:00"/>
        <d v="2020-03-09T11:50:00"/>
        <d v="2020-03-09T12:30:00"/>
        <d v="2020-03-09T12:43:00"/>
        <d v="2020-03-09T15:05:00"/>
        <d v="2020-03-10T08:05:00"/>
        <d v="2020-03-10T08:07:00"/>
        <d v="2020-03-10T08:23:00"/>
        <d v="2020-03-10T12:07:00"/>
        <d v="2020-03-10T13:27:00"/>
        <d v="2020-03-10T14:03:00"/>
        <d v="2020-03-10T15:00:00"/>
        <d v="2020-03-11T08:00:00"/>
        <d v="2020-03-11T08:10:00"/>
        <d v="2020-03-11T08:22:00"/>
        <d v="2020-03-11T13:52:00"/>
        <d v="2020-03-11T14:17:00"/>
        <d v="2020-03-11T14:50:00"/>
        <d v="2020-03-12T07:57:00"/>
        <d v="2020-03-12T08:09:00"/>
        <d v="2020-03-12T08:10:00"/>
        <d v="2020-03-12T09:21:00"/>
        <d v="2020-03-12T12:22:00"/>
        <d v="2020-03-12T13:04:00"/>
        <d v="2020-03-12T13:35:00"/>
        <d v="2020-03-12T14:28:00"/>
        <d v="2020-03-13T08:08:00"/>
        <d v="2020-03-13T08:09:00"/>
        <d v="2020-03-13T08:11:00"/>
        <d v="2020-03-13T09:34:00"/>
        <d v="2020-03-13T12:15:00"/>
        <d v="2020-03-13T13:59:00"/>
        <d v="2020-03-14T07:58:00"/>
        <d v="2020-03-14T08:00:00"/>
        <d v="2020-03-14T09:17:00"/>
        <d v="2020-03-14T11:30:00"/>
        <d v="2020-03-14T13:06:00"/>
        <d v="2020-03-16T08:07:00"/>
        <d v="2020-03-16T08:15:00"/>
        <d v="2020-03-16T14:23:00"/>
        <d v="2020-03-17T08:19:00"/>
        <d v="2020-03-17T08:20:00"/>
        <d v="2020-03-17T09:15:00"/>
        <d v="2020-03-18T08:15:00"/>
        <d v="2020-03-18T08:21:00"/>
        <d v="2020-03-19T10:02:00"/>
        <d v="2020-03-19T10:03:00"/>
        <d v="2020-03-19T11:10:00"/>
        <d v="2020-03-19T14:40:00"/>
        <d v="2020-03-20T08:15:00"/>
        <d v="2020-03-20T08:20:00"/>
        <d v="2020-03-20T16:17:00"/>
        <d v="2020-03-22T12:30:00"/>
        <d v="2020-03-23T08:27:00"/>
        <d v="2020-03-23T12:00:00"/>
        <d v="2020-03-24T08:17:00"/>
        <d v="2020-03-24T13:00:00"/>
        <d v="2020-03-25T07:58:00"/>
        <d v="2020-03-25T08:35:00"/>
        <d v="2020-03-26T08:20:00"/>
        <d v="2020-03-26T08:29:00"/>
        <d v="2020-03-26T13:25:00"/>
        <d v="2020-03-26T18:18:00"/>
        <d v="2020-03-27T08:59:00"/>
        <d v="2020-03-27T13:41:00"/>
        <d v="2020-03-27T14:40:00"/>
        <d v="2020-03-30T09:15:00"/>
        <d v="2020-03-30T09:24:00"/>
        <d v="2020-03-30T15:07:00"/>
        <d v="2020-03-31T10:27:00"/>
        <d v="2020-03-31T15:55:00"/>
        <d v="2020-04-01T09:10:00"/>
        <d v="2020-04-01T15:09:00"/>
        <d v="2020-04-02T09:15:00"/>
        <d v="2020-04-02T09:40:00"/>
        <d v="2020-04-03T14:20:00"/>
        <d v="2020-04-06T08:06:00"/>
        <d v="2020-04-06T08:50:00"/>
        <d v="2020-04-07T09:15:00"/>
        <d v="2020-04-07T14:25:00"/>
        <d v="2020-04-08T11:32:00"/>
        <d v="2020-04-14T08:35:00"/>
        <d v="2020-04-14T09:30:00"/>
        <d v="2020-04-18T13:06:00"/>
        <d v="2020-04-20T08:08:00"/>
        <d v="2020-04-20T08:30:00"/>
        <d v="2020-04-20T12:15:00"/>
        <d v="2020-04-25T00:27:00"/>
        <d v="2020-04-25T15:30:00"/>
        <d v="2020-04-27T23:16:00"/>
        <d v="2020-04-29T10:40:00"/>
        <d v="2020-04-30T09:59:00"/>
        <d v="2020-05-04T09:45:00"/>
        <d v="2020-05-05T17:10:00"/>
        <d v="2020-05-06T10:30:00"/>
        <d v="2020-05-06T13:00:00"/>
        <d v="2020-05-07T14:10:00"/>
        <d v="2020-05-11T09:52:00"/>
        <d v="2020-05-11T10:03:00"/>
        <d v="2020-05-11T16:08:00"/>
        <d v="2020-05-12T07:41:00"/>
        <d v="2020-05-12T10:08:00"/>
        <d v="2020-05-13T09:08:00"/>
        <d v="2020-05-13T10:05:00"/>
        <d v="2020-05-14T10:00:00"/>
        <d v="2020-05-14T10:11:00"/>
        <d v="2020-05-15T10:14:00"/>
        <d v="2020-05-15T20:40:00"/>
        <d v="2020-05-18T08:25:00"/>
        <d v="2020-05-18T10:02:00"/>
        <d v="2020-05-19T10:00:00"/>
        <d v="2020-05-19T10:05:00"/>
        <d v="2020-05-20T10:41:00"/>
        <d v="2020-05-21T12:11:00"/>
        <d v="2020-05-22T11:30:00"/>
        <d v="2020-05-23T08:21:00"/>
        <d v="2020-05-23T09:52:00"/>
        <d v="2020-05-24T13:25:00"/>
        <d v="2020-05-25T14:24:00"/>
        <d v="2020-05-26T09:45:00"/>
        <d v="2020-05-26T09:50:00"/>
        <d v="2020-05-27T09:00:00"/>
        <d v="2020-05-27T09:45:00"/>
        <d v="2020-05-28T08:12:00"/>
        <d v="2020-05-28T10:09:00"/>
        <d v="2020-05-29T08:54:00"/>
        <d v="2020-06-01T08:25:00"/>
        <d v="2020-06-01T11:53:00"/>
        <d v="2020-06-02T08:50:00"/>
        <d v="2020-06-02T09:00:00"/>
        <d v="2020-06-02T20:00:00"/>
        <d v="2020-06-03T08:27:00"/>
        <d v="2020-06-03T08:30:00"/>
        <d v="2020-06-04T08:30:00"/>
        <d v="2020-06-04T08:55:00"/>
        <d v="2020-06-04T14:31:00"/>
        <d v="2020-06-05T08:40:00"/>
        <d v="2020-06-05T23:58:00"/>
        <d v="2020-06-06T08:30:00"/>
        <d v="2020-06-06T11:27:00"/>
        <d v="2020-06-08T08:36:00"/>
        <d v="2020-06-08T10:19:00"/>
        <d v="2020-06-08T14:36:00"/>
        <d v="2020-06-09T08:20:00"/>
        <d v="2020-06-09T14:24:00"/>
        <d v="2020-06-09T16:13:00"/>
        <d v="2020-06-10T09:15:00"/>
        <d v="2020-06-10T16:05:00"/>
        <d v="2020-06-11T08:17:00"/>
        <d v="2020-06-11T08:25:00"/>
        <d v="2020-06-11T12:58:00"/>
        <d v="2020-06-11T14:04:00"/>
        <d v="2020-06-12T08:30:00"/>
        <d v="2020-06-12T09:38:00"/>
        <d v="2020-06-12T14:05:00"/>
        <d v="2020-06-12T14:40:00"/>
        <d v="2020-06-12T18:20:00"/>
        <d v="2020-06-13T08:05:00"/>
        <d v="2020-06-13T08:30:00"/>
        <d v="2020-06-13T13:00:00"/>
        <d v="2020-06-13T13:05:00"/>
        <d v="2020-06-15T08:13:00"/>
        <d v="2020-06-15T08:15:00"/>
        <d v="2020-06-15T08:30:00"/>
        <d v="2020-06-15T12:10:00"/>
        <d v="2020-06-15T15:45:00"/>
        <d v="2020-06-16T08:10:00"/>
        <d v="2020-06-16T08:15:00"/>
        <d v="2020-06-16T09:10:00"/>
        <d v="2020-06-16T12:45:00"/>
        <d v="2020-06-16T15:20:00"/>
        <d v="2020-06-16T16:41:00"/>
        <d v="2020-06-17T08:05:00"/>
        <d v="2020-06-17T08:20:00"/>
        <d v="2020-06-17T13:40:00"/>
        <d v="2020-06-17T16:00:00"/>
        <d v="2020-06-18T08:20:00"/>
        <d v="2020-06-18T08:28:00"/>
        <d v="2020-06-18T13:33:00"/>
        <d v="2020-06-18T13:38:00"/>
        <d v="2020-06-19T08:20:00"/>
        <d v="2020-06-19T08:30:00"/>
        <d v="2020-06-19T13:05:00"/>
        <d v="2020-06-19T15:06:00"/>
        <d v="2020-06-20T08:20:00"/>
        <d v="2020-06-20T14:50:00"/>
        <d v="2020-06-21T03:00:00"/>
        <d v="2020-06-22T08:20:00"/>
        <d v="2020-06-22T08:49:00"/>
        <d v="2020-06-22T13:43:00"/>
        <d v="2020-06-23T08:15:00"/>
        <d v="2020-06-23T08:30:00"/>
        <d v="2020-06-23T08:37:00"/>
        <d v="2020-06-23T13:12:00"/>
        <d v="2020-06-23T13:34:00"/>
        <d v="2020-06-23T14:45:00"/>
        <d v="2020-06-23T18:00:00"/>
        <d v="2020-06-24T10:15:00"/>
        <d v="2020-06-24T14:21:00"/>
        <d v="2020-06-25T12:15:00"/>
        <d v="2020-06-25T12:17:00"/>
        <d v="2020-06-25T12:53:00"/>
        <d v="2020-06-26T08:15:00"/>
        <d v="2020-06-26T08:45:00"/>
        <d v="2020-06-26T13:47:00"/>
        <d v="2020-06-26T15:10:00"/>
        <d v="2020-06-27T08:00:00"/>
        <d v="2020-06-27T08:12:00"/>
        <d v="2020-06-27T11:48:00"/>
        <d v="2020-06-27T15:12:00"/>
        <d v="2020-06-29T08:25:00"/>
        <d v="2020-06-29T08:30:00"/>
        <d v="2020-06-29T08:40:00"/>
        <d v="2020-06-29T15:00:00"/>
        <d v="2020-06-29T15:40:00"/>
        <d v="2020-06-30T08:20:00"/>
        <d v="2020-06-30T08:27:00"/>
        <d v="2020-06-30T09:53:00"/>
        <d v="2020-06-30T13:23:00"/>
        <d v="2020-06-30T15:09:00"/>
        <d v="2020-07-01T08:05:00"/>
        <d v="2020-07-01T08:15:00"/>
        <d v="2020-07-01T13:06:00"/>
        <d v="2020-07-01T15:00:00"/>
        <d v="2020-07-02T08:12:00"/>
        <d v="2020-07-02T08:20:00"/>
        <d v="2020-07-02T08:35:00"/>
        <d v="2020-07-02T13:20:00"/>
        <d v="2020-07-02T14:00:00"/>
        <d v="2020-07-03T08:11:00"/>
        <d v="2020-07-03T08:30:00"/>
        <d v="2020-07-03T13:29:00"/>
        <d v="2020-07-03T14:45:00"/>
        <d v="2020-07-04T08:05:00"/>
        <d v="2020-07-05T10:36:00"/>
        <d v="2020-07-06T08:10:00"/>
        <d v="2020-07-06T08:24:00"/>
        <d v="2020-07-06T08:26:00"/>
        <d v="2020-07-06T12:05:00"/>
        <d v="2020-07-06T14:13:00"/>
        <d v="2020-07-07T08:12:00"/>
        <d v="2020-07-07T08:15:00"/>
        <d v="2020-07-07T08:19:00"/>
        <d v="2020-07-07T13:10:00"/>
        <d v="2020-07-07T14:00:00"/>
        <d v="2020-07-07T15:51:00"/>
        <d v="2020-07-08T08:13:00"/>
        <d v="2020-07-08T08:17:00"/>
        <d v="2020-07-08T08:20:00"/>
        <d v="2020-07-08T13:53:00"/>
        <d v="2020-07-08T14:07:00"/>
        <d v="2020-07-08T15:05:00"/>
        <d v="2020-07-09T03:15:00"/>
        <d v="2020-07-09T07:50:00"/>
        <d v="2020-07-09T08:21:00"/>
        <d v="2020-07-09T09:43:00"/>
        <d v="2020-07-09T12:06:00"/>
        <d v="2020-07-09T14:47:00"/>
        <d v="2020-07-09T16:11:00"/>
        <d v="2020-07-10T07:55:00"/>
        <d v="2020-07-10T08:18:00"/>
        <d v="2020-07-10T08:23:00"/>
        <d v="2020-07-10T13:47:00"/>
        <d v="2020-07-10T14:37:00"/>
        <d v="2020-07-11T08:10:00"/>
        <d v="2020-07-11T08:23:00"/>
        <d v="2020-07-11T14:30:00"/>
        <d v="2020-07-13T08:08:00"/>
        <d v="2020-07-13T08:18:00"/>
        <d v="2020-07-13T08:23:00"/>
        <d v="2020-07-13T13:49:00"/>
        <d v="2020-07-13T13:55:00"/>
        <d v="2020-07-14T08:10:00"/>
        <d v="2020-07-14T08:20:00"/>
        <d v="2020-07-14T08:50:00"/>
        <d v="2020-07-14T13:00:00"/>
        <d v="2020-07-14T13:35:00"/>
        <d v="2020-07-15T08:23:00"/>
        <d v="2020-07-15T09:00:00"/>
        <d v="2020-07-15T15:11:00"/>
        <d v="2020-07-16T08:10:00"/>
        <d v="2020-07-16T08:19:00"/>
        <d v="2020-07-16T08:31:00"/>
        <d v="2020-07-16T13:28:00"/>
        <d v="2020-07-16T14:16:00"/>
        <d v="2020-07-17T08:10:00"/>
        <d v="2020-07-17T13:24:00"/>
        <d v="2020-07-17T13:30:00"/>
        <d v="2020-07-18T08:05:00"/>
        <d v="2020-07-18T08:10:00"/>
        <d v="2020-07-18T12:10:00"/>
        <d v="2020-07-18T12:56:00"/>
        <d v="2020-07-19T08:17:00"/>
        <d v="2020-07-20T07:49:00"/>
        <d v="2020-07-20T08:10:00"/>
        <d v="2020-07-20T08:14:00"/>
        <d v="2020-07-20T08:20:00"/>
        <d v="2020-07-20T12:28:00"/>
        <d v="2020-07-20T13:24:00"/>
        <d v="2020-07-20T13:55:00"/>
        <d v="2020-07-21T08:00:00"/>
        <d v="2020-07-21T08:04:00"/>
        <d v="2020-07-21T08:11:00"/>
        <d v="2020-07-21T08:20:00"/>
        <d v="2020-07-21T13:10:00"/>
        <d v="2020-07-21T13:15:00"/>
        <d v="2020-07-21T14:05:00"/>
        <d v="2020-07-21T14:25:00"/>
        <d v="2020-07-22T08:20:00"/>
        <d v="2020-07-22T08:30:00"/>
        <d v="2020-07-22T13:55:00"/>
        <d v="2020-07-22T14:52:00"/>
        <d v="2020-07-23T08:00:00"/>
        <d v="2020-07-23T08:11:00"/>
        <d v="2020-07-23T08:13:00"/>
        <d v="2020-07-23T08:15:00"/>
        <d v="2020-07-23T13:33:00"/>
        <d v="2020-07-23T14:00:00"/>
        <d v="2020-07-23T14:32:00"/>
        <d v="2020-07-23T15:43:00"/>
        <d v="2020-07-24T08:16:00"/>
        <d v="2020-07-24T08:31:00"/>
        <d v="2020-07-24T13:57:00"/>
        <d v="2020-07-25T07:50:00"/>
        <d v="2020-07-25T08:00:00"/>
        <d v="2020-07-25T11:25:00"/>
        <d v="2020-07-25T12:20:00"/>
        <d v="2020-07-26T16:10:00"/>
        <d v="2020-07-27T07:55:00"/>
        <d v="2020-07-27T08:06:00"/>
        <d v="2020-07-27T08:55:00"/>
        <d v="2020-07-27T13:41:00"/>
        <d v="2020-07-27T14:32:00"/>
        <d v="2020-07-27T14:59:00"/>
        <d v="2020-07-28T08:05:00"/>
        <d v="2020-07-28T08:07:00"/>
        <d v="2020-07-28T08:14:00"/>
        <d v="2020-07-28T08:16:00"/>
        <d v="2020-07-28T11:28:00"/>
        <d v="2020-07-28T13:01:00"/>
        <d v="2020-07-28T13:20:00"/>
        <d v="2020-07-28T14:08:00"/>
        <d v="2020-07-28T14:30:00"/>
        <d v="2020-07-29T08:12:00"/>
        <d v="2020-07-29T12:55:00"/>
        <d v="2020-07-30T12:00:00"/>
        <d v="2020-07-30T12:15:00"/>
        <d v="2020-07-30T12:45:00"/>
        <d v="2020-07-30T13:20:00"/>
        <d v="2020-07-31T04:54:00"/>
        <d v="2020-07-31T08:00:00"/>
        <d v="2020-07-31T08:12:00"/>
        <d v="2020-07-31T12:01:00"/>
        <d v="2020-07-31T14:37:00"/>
        <d v="2020-08-01T08:15:00"/>
        <d v="2020-08-01T13:16:00"/>
        <d v="2020-08-03T08:05:00"/>
        <d v="2020-08-03T08:08:00"/>
        <d v="2020-08-03T08:13:00"/>
        <d v="2020-08-03T08:18:00"/>
        <d v="2020-08-03T11:03:00"/>
        <d v="2020-08-03T12:15:00"/>
        <d v="2020-08-03T12:55:00"/>
        <d v="2020-08-03T13:35:00"/>
        <d v="2020-08-03T20:05:00"/>
        <d v="2020-08-04T08:00:00"/>
        <d v="2020-08-04T08:17:00"/>
        <d v="2020-08-04T08:25:00"/>
        <d v="2020-08-04T09:35:00"/>
        <d v="2020-08-04T13:59:00"/>
        <d v="2020-08-04T14:00:00"/>
        <d v="2020-08-04T15:25:00"/>
        <d v="2020-08-05T07:50:00"/>
        <d v="2020-08-05T08:13:00"/>
        <d v="2020-08-05T08:15:00"/>
        <d v="2020-08-05T11:11:00"/>
        <d v="2020-08-05T12:40:00"/>
        <d v="2020-08-05T13:43:00"/>
        <d v="2020-08-05T14:30:00"/>
        <d v="2020-08-05T15:03:00"/>
        <d v="2020-08-06T08:08:00"/>
        <d v="2020-08-06T08:10:00"/>
        <d v="2020-08-06T08:25:00"/>
        <d v="2020-08-06T09:10:00"/>
        <d v="2020-08-06T11:57:00"/>
        <d v="2020-08-06T14:00:00"/>
        <d v="2020-08-06T14:17:00"/>
        <d v="2020-08-07T08:09:00"/>
        <d v="2020-08-07T08:11:00"/>
        <d v="2020-08-07T13:12:00"/>
        <d v="2020-08-07T14:44:00"/>
        <d v="2020-08-08T08:10:00"/>
        <d v="2020-08-08T13:10:00"/>
        <d v="2020-08-09T12:05:00"/>
        <d v="2020-08-10T07:31:00"/>
        <d v="2020-08-10T08:10:00"/>
        <d v="2020-08-10T08:12:00"/>
        <d v="2020-08-10T12:14:00"/>
        <d v="2020-08-10T12:47:00"/>
        <d v="2020-08-10T13:20:00"/>
        <d v="2020-08-10T16:00:00"/>
        <d v="2020-08-10T16:04:00"/>
        <d v="2020-08-11T07:53:00"/>
        <d v="2020-08-11T07:57:00"/>
        <d v="2020-08-11T08:00:00"/>
        <d v="2020-08-11T08:10:00"/>
        <d v="2020-08-11T12:33:00"/>
        <d v="2020-08-11T13:40:00"/>
        <d v="2020-08-11T14:15:00"/>
        <d v="2020-08-11T14:28:00"/>
        <d v="2020-08-12T08:15:00"/>
        <d v="2020-08-12T08:16:00"/>
        <d v="2020-08-12T08:17:00"/>
        <d v="2020-08-12T08:23:00"/>
        <d v="2020-08-12T11:18:00"/>
        <d v="2020-08-12T13:40:00"/>
        <d v="2020-08-12T21:40:00"/>
        <d v="2020-08-13T07:59:00"/>
        <d v="2020-08-13T08:10:00"/>
        <d v="2020-08-13T08:13:00"/>
        <d v="2020-08-13T11:34:00"/>
        <d v="2020-08-14T08:15:00"/>
        <d v="2020-08-14T08:20:00"/>
        <d v="2020-08-14T12:18:00"/>
        <d v="2020-08-14T13:06:00"/>
        <d v="2020-08-15T08:00:00"/>
        <d v="2020-08-15T08:12:00"/>
        <d v="2020-08-15T11:05:00"/>
        <d v="2020-08-15T12:30:00"/>
        <d v="2020-08-16T09:23:00"/>
        <d v="2020-08-17T08:00:00"/>
        <d v="2020-08-17T08:05:00"/>
        <d v="2020-08-17T08:07:00"/>
        <d v="2020-08-17T08:09:00"/>
        <d v="2020-08-17T10:48:00"/>
        <d v="2020-08-17T11:37:00"/>
        <d v="2020-08-17T12:44:00"/>
        <d v="2020-08-17T13:15:00"/>
        <d v="2020-08-17T14:50:00"/>
        <d v="2020-08-18T08:00:00"/>
        <d v="2020-08-18T08:10:00"/>
        <d v="2020-08-18T08:12:00"/>
        <d v="2020-08-18T08:23:00"/>
        <d v="2020-08-18T12:50:00"/>
        <d v="2020-08-18T13:30:00"/>
        <d v="2020-08-18T14:00:00"/>
        <d v="2020-08-19T08:10:00"/>
        <d v="2020-08-19T08:20:00"/>
        <d v="2020-08-19T08:52:00"/>
        <d v="2020-08-20T08:12:00"/>
        <d v="2020-08-20T08:15:00"/>
        <d v="2020-08-20T08:19:00"/>
        <d v="2020-08-20T14:03:00"/>
        <d v="2020-08-21T08:12:00"/>
        <d v="2020-08-21T08:15:00"/>
        <d v="2020-08-21T13:25:00"/>
        <d v="2020-08-21T14:55:00"/>
        <d v="2020-08-22T08:04:00"/>
        <d v="2020-08-22T12:47:00"/>
        <d v="2020-08-24T08:08:00"/>
        <d v="2020-08-24T08:11:00"/>
        <d v="2020-08-24T08:13:00"/>
        <d v="2020-08-24T08:40:00"/>
        <d v="2020-08-24T11:30:00"/>
        <d v="2020-08-24T12:15:00"/>
        <d v="2020-08-24T13:56:00"/>
        <d v="2020-08-24T15:35:00"/>
        <d v="2020-08-25T10:15:00"/>
        <d v="2020-08-25T12:05:00"/>
        <d v="2020-08-25T12:21:00"/>
        <d v="2020-08-25T12:30:00"/>
        <d v="2020-08-25T16:20:00"/>
        <d v="2020-08-26T08:12:00"/>
        <d v="2020-08-26T08:15:00"/>
        <d v="2020-08-26T08:20:00"/>
        <d v="2020-08-26T08:25:00"/>
        <d v="2020-08-26T13:00:00"/>
        <d v="2020-08-26T13:42:00"/>
        <d v="2020-08-26T14:53:00"/>
        <d v="2020-08-27T08:04:00"/>
        <d v="2020-08-27T08:10:00"/>
        <d v="2020-08-27T08:15:00"/>
        <d v="2020-08-27T13:35:00"/>
        <d v="2020-08-27T13:58:00"/>
        <d v="2020-08-27T14:40:00"/>
        <d v="2020-08-28T08:05:00"/>
        <d v="2020-08-28T08:11:00"/>
        <d v="2020-08-28T12:15:00"/>
        <d v="2020-08-28T14:30:00"/>
        <d v="2020-08-28T15:10:00"/>
        <d v="2020-08-29T08:00:00"/>
        <d v="2020-08-29T08:02:00"/>
        <d v="2020-08-29T10:40:00"/>
        <d v="2020-08-29T12:32:00"/>
        <d v="2020-08-29T14:38:00"/>
        <d v="2020-09-01T08:15:00"/>
        <d v="2020-09-01T08:20:00"/>
        <d v="2020-09-01T13:52:00"/>
        <d v="2020-09-02T08:00:00"/>
        <d v="2020-09-02T08:17:00"/>
        <d v="2020-09-02T08:33:00"/>
        <d v="2020-09-02T08:45:00"/>
        <d v="2020-09-02T12:05:00"/>
        <d v="2020-09-02T12:54:00"/>
        <d v="2020-09-02T13:30:00"/>
        <d v="2020-09-02T16:13:00"/>
        <d v="2020-09-03T08:14:00"/>
        <d v="2020-09-03T08:15:00"/>
        <d v="2020-09-03T11:37:00"/>
        <d v="2020-09-03T14:03:00"/>
        <d v="2020-09-03T14:40:00"/>
        <d v="2020-09-04T08:11:00"/>
        <d v="2020-09-04T08:15:00"/>
        <d v="2020-09-04T08:24:00"/>
        <d v="2020-09-04T14:00:00"/>
        <d v="2020-09-04T14:25:00"/>
        <d v="2020-09-04T22:20:00"/>
        <d v="2020-09-05T08:00:00"/>
        <d v="2020-09-05T12:21:00"/>
        <d v="2020-09-07T08:14:00"/>
        <d v="2020-09-07T08:17:00"/>
        <d v="2020-09-07T08:19:00"/>
        <d v="2020-09-07T08:25:00"/>
        <d v="2020-09-07T12:14:00"/>
        <d v="2020-09-07T12:55:00"/>
        <d v="2020-09-07T15:20:00"/>
        <d v="2020-09-08T08:01:00"/>
        <d v="2020-09-08T08:12:00"/>
        <d v="2020-09-08T08:15:00"/>
        <d v="2020-09-08T12:40:00"/>
        <d v="2020-09-08T14:43:00"/>
        <d v="2020-09-08T14:45:00"/>
        <d v="2020-09-09T08:00:00"/>
        <d v="2020-09-09T08:01:00"/>
        <d v="2020-09-09T08:11:00"/>
        <d v="2020-09-09T08:21:00"/>
        <d v="2020-09-09T13:58:00"/>
        <d v="2020-09-09T15:21:00"/>
        <d v="2020-09-09T15:23:00"/>
        <d v="2020-09-10T08:06:00"/>
        <d v="2020-09-10T08:12:00"/>
        <d v="2020-09-10T10:54:00"/>
        <d v="2020-09-10T14:25:00"/>
        <d v="2020-09-10T16:12:00"/>
        <d v="2020-09-11T07:57:00"/>
        <d v="2020-09-11T08:03:00"/>
        <d v="2020-09-11T08:10:00"/>
        <d v="2020-09-11T13:28:00"/>
        <d v="2020-09-11T13:40:00"/>
        <d v="2020-09-12T08:12:00"/>
        <d v="2020-09-12T11:07:00"/>
        <d v="2020-09-14T08:07:00"/>
        <d v="2020-09-14T08:08:00"/>
        <d v="2020-09-14T08:11:00"/>
        <d v="2020-09-14T08:13:00"/>
        <d v="2020-09-14T08:18:00"/>
        <d v="2020-09-14T11:56:00"/>
        <d v="2020-09-14T13:05:00"/>
        <d v="2020-09-14T13:07:00"/>
        <d v="2020-09-14T13:26:00"/>
        <d v="2020-09-14T14:45:00"/>
        <d v="2020-09-15T08:08:00"/>
        <d v="2020-09-15T08:10:00"/>
        <d v="2020-09-15T08:21:00"/>
        <d v="2020-09-15T11:38:00"/>
        <d v="2020-09-15T14:08:00"/>
        <d v="2020-09-15T14:27:00"/>
        <d v="2020-09-15T14:52:00"/>
        <d v="2020-09-15T15:37:00"/>
        <d v="2020-09-16T07:55:00"/>
        <d v="2020-09-16T08:04:00"/>
        <d v="2020-09-16T08:08:00"/>
        <d v="2020-09-16T08:20:00"/>
        <d v="2020-09-16T12:48:00"/>
        <d v="2020-09-16T13:50:00"/>
        <d v="2020-09-16T14:35:00"/>
        <d v="2020-09-16T14:48:00"/>
        <d v="2020-09-17T08:00:00"/>
        <d v="2020-09-17T08:10:00"/>
        <d v="2020-09-17T08:37:00"/>
        <d v="2020-09-17T12:30:00"/>
        <d v="2020-09-17T12:35:00"/>
        <d v="2020-09-17T14:00:00"/>
        <d v="2020-09-18T07:54:00"/>
        <d v="2020-09-18T08:13:00"/>
        <d v="2020-09-18T08:17:00"/>
        <d v="2020-09-18T09:16:00"/>
        <d v="2020-09-18T13:16:00"/>
        <d v="2020-09-18T14:43:00"/>
        <d v="2020-09-19T08:00:00"/>
        <d v="2020-09-19T08:15:00"/>
        <d v="2020-09-19T12:20:00"/>
        <d v="2020-09-19T13:39:00"/>
        <d v="2020-09-21T08:22:00"/>
        <d v="2020-09-21T08:37:00"/>
        <d v="2020-09-21T12:54:00"/>
        <d v="2020-09-21T14:10:00"/>
        <d v="2020-09-21T14:23:00"/>
        <d v="2020-09-22T08:05:00"/>
        <d v="2020-09-22T08:15:00"/>
        <d v="2020-09-22T08:20:00"/>
        <d v="2020-09-22T08:30:00"/>
        <d v="2020-09-22T12:30:00"/>
        <d v="2020-09-23T07:57:00"/>
        <d v="2020-09-23T08:05:00"/>
        <d v="2020-09-23T08:15:00"/>
        <d v="2020-09-23T13:14:00"/>
        <d v="2020-09-23T15:37:00"/>
        <d v="2020-09-24T08:00:00"/>
        <d v="2020-09-24T08:10:00"/>
        <d v="2020-09-24T08:15:00"/>
        <d v="2020-09-24T08:20:00"/>
        <d v="2020-09-24T11:25:00"/>
        <d v="2020-09-24T13:48:00"/>
        <d v="2020-09-24T14:14:00"/>
        <d v="2020-09-24T14:28:00"/>
        <d v="2020-09-25T08:09:00"/>
        <d v="2020-09-25T08:12:00"/>
        <d v="2020-09-25T08:14:00"/>
        <d v="2020-09-25T08:19:00"/>
        <d v="2020-09-25T13:48:00"/>
        <d v="2020-09-25T13:52:00"/>
        <d v="2020-09-25T19:53:00"/>
        <d v="2020-09-26T07:50:00"/>
        <d v="2020-09-26T07:52:00"/>
        <d v="2020-09-26T12:38:00"/>
        <d v="2020-09-26T13:40:00"/>
        <d v="2020-09-26T18:30:00"/>
        <d v="2020-09-28T08:05:00"/>
        <d v="2020-09-28T08:07:00"/>
        <d v="2020-09-28T08:10:00"/>
        <d v="2020-09-28T08:18:00"/>
        <d v="2020-09-28T12:00:00"/>
        <d v="2020-09-28T12:35:00"/>
        <d v="2020-09-28T13:45:00"/>
        <d v="2020-09-28T13:48:00"/>
        <d v="2020-09-29T08:00:00"/>
        <d v="2020-09-29T08:15:00"/>
        <d v="2020-09-29T08:40:00"/>
        <d v="2020-09-29T13:00:00"/>
        <d v="2020-09-29T13:15:00"/>
        <d v="2020-09-30T07:55:00"/>
        <d v="2020-09-30T08:15:00"/>
        <d v="2020-09-30T08:19:00"/>
        <d v="2020-09-30T11:51:00"/>
        <d v="2020-09-30T13:05:00"/>
        <d v="2020-10-01T08:00:00"/>
        <d v="2020-10-01T08:13:00"/>
        <d v="2020-10-01T08:18:00"/>
        <d v="2020-10-01T09:28:00"/>
        <d v="2020-10-01T13:09:00"/>
        <d v="2020-10-01T13:10:00"/>
        <d v="2020-10-01T14:47:00"/>
        <d v="2020-10-02T08:02:00"/>
        <d v="2020-10-02T08:06:00"/>
        <d v="2020-10-02T08:19:00"/>
        <d v="2020-10-02T11:05:00"/>
        <d v="2020-10-02T13:34:00"/>
        <d v="2020-10-02T14:55:00"/>
        <d v="2020-10-03T07:52:00"/>
        <d v="2020-10-03T10:58:00"/>
        <d v="2020-10-05T08:05:00"/>
        <d v="2020-10-05T08:13:00"/>
        <d v="2020-10-05T12:45:00"/>
        <d v="2020-10-05T13:17:00"/>
        <d v="2020-10-05T13:34:00"/>
        <d v="2020-10-06T12:30:00"/>
        <d v="2020-10-06T12:40:00"/>
        <d v="2020-10-06T12:55:00"/>
        <d v="2020-10-06T13:09:00"/>
        <d v="2020-10-06T16:04:00"/>
        <d v="2020-10-07T08:07:00"/>
        <d v="2020-10-07T08:11:00"/>
        <d v="2020-10-07T08:15:00"/>
        <d v="2020-10-07T13:10:00"/>
        <d v="2020-10-08T08:00:00"/>
        <d v="2020-10-08T08:17:00"/>
        <d v="2020-10-08T08:19:00"/>
        <d v="2020-10-08T11:29:00"/>
        <d v="2020-10-08T12:07:00"/>
        <d v="2020-10-08T13:30:00"/>
        <d v="2020-10-08T15:08:00"/>
        <d v="2020-10-09T07:50:00"/>
        <d v="2020-10-09T08:00:00"/>
        <d v="2020-10-09T08:05:00"/>
        <d v="2020-10-09T08:08:00"/>
        <d v="2020-10-09T12:00:00"/>
        <d v="2020-10-09T13:30:00"/>
        <d v="2020-10-09T13:52:00"/>
        <d v="2020-10-09T14:45:00"/>
        <d v="2020-10-10T07:42:00"/>
        <d v="2020-10-10T07:50:00"/>
        <d v="2020-10-10T12:50:00"/>
        <d v="2020-10-10T13:30:00"/>
        <d v="2020-10-10T19:58:00"/>
        <d v="2020-10-12T07:57:00"/>
        <d v="2020-10-12T08:10:00"/>
        <d v="2020-10-12T08:12:00"/>
        <d v="2020-10-12T08:15:00"/>
        <d v="2020-10-12T12:45:00"/>
        <d v="2020-10-12T12:50:00"/>
        <d v="2020-10-12T13:18:00"/>
        <d v="2020-10-12T13:20:00"/>
        <d v="2020-10-12T14:15:00"/>
        <d v="2020-10-13T08:04:00"/>
        <d v="2020-10-13T08:15:00"/>
        <d v="2020-10-13T12:10:00"/>
        <d v="2020-10-13T12:30:00"/>
        <d v="2020-10-13T15:34:00"/>
        <d v="2020-10-13T23:38:00"/>
        <d v="2020-10-14T08:18:00"/>
        <d v="2020-10-14T08:20:00"/>
        <d v="2020-10-14T14:10:00"/>
        <d v="2020-10-14T14:20:00"/>
        <d v="2020-10-14T14:47:00"/>
        <d v="2020-10-15T07:58:00"/>
        <d v="2020-10-15T08:16:00"/>
        <d v="2020-10-15T08:25:00"/>
        <d v="2020-10-15T10:38:00"/>
        <d v="2020-10-15T12:48:00"/>
        <d v="2020-10-15T14:38:00"/>
        <d v="2020-10-15T16:14:00"/>
        <d v="2020-10-16T07:57:00"/>
        <d v="2020-10-16T08:00:00"/>
        <d v="2020-10-16T08:04:00"/>
        <d v="2020-10-16T08:05:00"/>
        <d v="2020-10-16T12:08:00"/>
        <d v="2020-10-16T13:35:00"/>
        <d v="2020-10-16T14:58:00"/>
        <d v="2020-10-17T08:10:00"/>
        <d v="2020-10-17T11:25:00"/>
        <d v="2020-10-17T11:50:00"/>
        <d v="2020-10-19T00:31:00"/>
        <d v="2020-10-19T08:12:00"/>
        <d v="2020-10-19T08:14:00"/>
        <d v="2020-10-19T08:20:00"/>
        <d v="2020-10-19T12:24:00"/>
        <d v="2020-10-19T15:33:00"/>
        <d v="2020-10-20T08:00:00"/>
        <d v="2020-10-20T08:08:00"/>
        <d v="2020-10-20T08:15:00"/>
        <d v="2020-10-20T12:12:00"/>
        <d v="2020-10-20T15:00:00"/>
        <d v="2020-10-20T16:30:00"/>
        <d v="2020-10-21T08:13:00"/>
        <d v="2020-10-21T10:09:00"/>
        <d v="2020-10-21T11:21:00"/>
        <d v="2020-10-21T12:12:00"/>
        <d v="2020-10-21T13:45:00"/>
        <d v="2020-10-21T15:31:00"/>
        <d v="2020-10-22T08:09:00"/>
        <d v="2020-10-22T08:10:00"/>
        <d v="2020-10-22T08:20:00"/>
        <d v="2020-10-22T08:22:00"/>
        <d v="2020-10-22T15:59:00"/>
        <d v="2020-10-23T08:00:00"/>
        <d v="2020-10-23T08:15:00"/>
        <d v="2020-10-23T12:51:00"/>
        <d v="2020-10-23T14:40:00"/>
        <d v="2020-10-23T17:20:00"/>
        <d v="2020-10-24T08:00:00"/>
        <d v="2020-10-24T08:06:00"/>
        <d v="2020-10-26T08:11:00"/>
        <d v="2020-10-26T08:14:00"/>
        <d v="2020-10-26T08:22:00"/>
        <d v="2020-10-26T08:23:00"/>
        <d v="2020-10-26T08:26:00"/>
        <d v="2020-10-26T13:14:00"/>
        <d v="2020-10-26T14:25:00"/>
        <d v="2020-10-27T08:13:00"/>
        <d v="2020-10-27T08:15:00"/>
        <d v="2020-10-27T08:20:00"/>
        <d v="2020-10-27T08:40:00"/>
        <d v="2020-10-27T13:00:00"/>
        <d v="2020-10-27T14:25:00"/>
        <d v="2020-10-27T15:40:00"/>
        <d v="2020-10-28T08:05:00"/>
        <d v="2020-10-28T08:09:00"/>
        <d v="2020-10-28T08:15:00"/>
        <d v="2020-10-28T08:25:00"/>
        <d v="2020-10-29T08:10:00"/>
        <d v="2020-10-29T08:12:00"/>
        <d v="2020-10-29T08:20:00"/>
        <d v="2020-10-29T09:36:00"/>
        <d v="2020-10-29T14:06:00"/>
        <d v="2020-10-30T08:00:00"/>
        <d v="2020-10-30T08:11:00"/>
        <d v="2020-10-30T08:20:00"/>
        <d v="2020-10-30T13:25:00"/>
        <d v="2020-10-30T13:53:00"/>
        <d v="2020-10-30T20:40:00"/>
        <d v="2020-10-31T08:11:00"/>
        <d v="2020-10-31T08:21:00"/>
        <d v="2020-10-31T12:28:00"/>
        <d v="2020-10-31T13:45:00"/>
        <d v="2020-11-01T13:52:00"/>
        <d v="2020-11-02T02:50:00"/>
        <d v="2020-11-02T08:39:00"/>
        <d v="2020-11-02T08:48:00"/>
        <d v="2020-11-02T14:34:00"/>
        <d v="2020-11-03T08:39:00"/>
        <d v="2020-11-03T09:00:00"/>
        <d v="2020-11-03T09:02:00"/>
        <d v="2020-11-03T16:00:00"/>
        <d v="2020-11-04T09:00:00"/>
        <d v="2020-11-04T13:00:00"/>
        <d v="2020-11-04T16:57:00"/>
        <d v="2020-11-05T07:47:00"/>
        <d v="2020-11-05T07:55:00"/>
        <d v="2020-11-05T08:00:00"/>
        <d v="2020-11-05T08:10:00"/>
        <d v="2020-11-05T08:17:00"/>
        <d v="2020-11-05T15:15:00"/>
        <d v="2020-11-06T07:58:00"/>
        <d v="2020-11-06T08:06:00"/>
        <d v="2020-11-06T08:10:00"/>
        <d v="2020-11-06T09:33:00"/>
        <d v="2020-11-06T12:35:00"/>
        <d v="2020-11-07T08:03:00"/>
        <d v="2020-11-07T11:10:00"/>
        <d v="2020-11-09T08:05:00"/>
        <d v="2020-11-09T08:20:00"/>
        <d v="2020-11-09T08:52:00"/>
        <d v="2020-11-09T15:30:00"/>
        <d v="2020-11-09T16:20:00"/>
        <d v="2020-11-10T08:35:00"/>
        <d v="2020-11-11T08:20:00"/>
        <d v="2020-11-12T07:59:00"/>
        <d v="2020-11-12T08:00:00"/>
        <d v="2020-11-12T08:09:00"/>
        <d v="2020-11-12T08:15:00"/>
        <d v="2020-11-12T14:15:00"/>
        <d v="2020-11-12T16:55:00"/>
        <d v="2020-11-13T08:07:00"/>
        <d v="2020-11-13T08:15:00"/>
        <d v="2020-11-13T10:36:00"/>
        <d v="2020-11-13T13:34:00"/>
        <d v="2020-11-14T08:00:00"/>
        <d v="2020-11-14T11:45:00"/>
        <d v="2020-11-16T08:00:00"/>
        <d v="2020-11-16T08:09:00"/>
        <d v="2020-11-16T08:20:00"/>
        <d v="2020-11-16T08:25:00"/>
        <d v="2020-11-16T13:05:00"/>
        <d v="2020-11-16T13:30:00"/>
        <d v="2020-11-16T15:40:00"/>
        <d v="2020-11-17T07:48:00"/>
        <d v="2020-11-17T08:10:00"/>
        <d v="2020-11-17T08:15:00"/>
        <d v="2020-11-17T08:20:00"/>
        <d v="2020-11-17T12:50:00"/>
        <d v="2020-11-17T13:23:00"/>
        <d v="2020-11-17T14:05:00"/>
        <d v="2020-11-18T08:00:00"/>
        <d v="2020-11-18T08:05:00"/>
        <d v="2020-11-18T08:20:00"/>
        <d v="2020-11-18T08:29:00"/>
        <d v="2020-11-18T12:16:00"/>
        <d v="2020-11-18T13:15:00"/>
        <d v="2020-11-18T13:27:00"/>
        <d v="2020-11-19T08:04:00"/>
        <d v="2020-11-19T08:05:00"/>
        <d v="2020-11-19T08:11:00"/>
        <d v="2020-11-19T08:25:00"/>
        <d v="2020-11-19T08:28:00"/>
        <d v="2020-11-19T12:20:00"/>
        <d v="2020-11-19T13:20:00"/>
        <d v="2020-11-19T15:21:00"/>
        <d v="2020-11-20T03:30:00"/>
        <d v="2020-11-20T08:00:00"/>
        <d v="2020-11-20T08:10:00"/>
        <d v="2020-11-20T08:14:00"/>
        <d v="2020-11-20T13:24:00"/>
        <d v="2020-11-20T13:30:00"/>
        <d v="2020-11-21T08:05:00"/>
        <d v="2020-11-21T10:41:00"/>
        <d v="2020-11-22T08:31:00"/>
        <d v="2020-11-22T11:00:00"/>
        <d v="2020-11-23T07:55:00"/>
        <d v="2020-11-23T08:02:00"/>
        <d v="2020-11-23T08:10:00"/>
        <d v="2020-11-23T08:20:00"/>
        <d v="2020-11-23T12:20:00"/>
        <d v="2020-11-23T12:31:00"/>
        <d v="2020-11-23T14:00:00"/>
        <d v="2020-11-24T08:00:00"/>
        <d v="2020-11-24T08:15:00"/>
        <d v="2020-11-24T08:18:00"/>
        <d v="2020-11-24T12:50:00"/>
        <d v="2020-11-24T13:51:00"/>
        <d v="2020-11-24T14:00:00"/>
        <d v="2020-11-24T14:35:00"/>
        <d v="2020-11-25T07:53:00"/>
        <d v="2020-11-25T08:00:00"/>
        <d v="2020-11-25T08:28:00"/>
        <d v="2020-11-25T09:22:00"/>
        <d v="2020-11-25T12:45:00"/>
        <d v="2020-11-25T14:50:00"/>
        <d v="2020-11-26T08:10:00"/>
        <d v="2020-11-26T08:14:00"/>
        <d v="2020-11-26T08:15:00"/>
        <d v="2020-11-26T13:50:00"/>
        <d v="2020-11-26T13:58:00"/>
        <d v="2020-11-26T14:18:00"/>
        <d v="2020-11-26T16:54:00"/>
        <d v="2020-11-27T09:21:00"/>
        <d v="2020-11-27T12:20:00"/>
        <d v="2020-11-27T12:21:00"/>
        <d v="2020-11-28T08:09:00"/>
        <d v="2020-11-28T13:00:00"/>
        <d v="2020-11-30T08:05:00"/>
        <d v="2020-11-30T08:13:00"/>
        <d v="2020-11-30T08:29:00"/>
        <d v="2020-11-30T14:42:00"/>
        <d v="2020-12-01T07:55:00"/>
        <d v="2020-12-01T08:10:00"/>
        <d v="2020-12-01T08:25:00"/>
        <d v="2020-12-01T14:08:00"/>
        <d v="2020-12-01T15:43:00"/>
        <d v="2020-12-02T08:00:00"/>
        <d v="2020-12-02T08:21:00"/>
        <d v="2020-12-02T09:00:00"/>
        <d v="2020-12-02T14:20:00"/>
        <d v="2020-12-02T14:40:00"/>
        <d v="2020-12-03T08:00:00"/>
        <d v="2020-12-03T08:09:00"/>
        <d v="2020-12-03T08:10:00"/>
        <d v="2020-12-03T13:04:00"/>
        <d v="2020-12-04T08:00:00"/>
        <d v="2020-12-04T08:10:00"/>
        <d v="2020-12-04T08:18:00"/>
        <d v="2020-12-04T11:32:00"/>
        <d v="2020-12-04T13:51:00"/>
        <d v="2020-12-04T14:40:00"/>
        <d v="2020-12-04T14:51:00"/>
        <d v="2020-12-05T08:05:00"/>
        <d v="2020-12-05T08:10:00"/>
        <d v="2020-12-07T08:13:00"/>
        <d v="2020-12-07T08:14:00"/>
        <d v="2020-12-07T08:25:00"/>
        <d v="2020-12-07T12:20:00"/>
        <d v="2020-12-07T14:02:00"/>
        <d v="2020-12-07T15:28:00"/>
        <d v="2020-12-08T07:55:00"/>
        <d v="2020-12-08T08:00:00"/>
        <d v="2020-12-08T08:03:00"/>
        <d v="2020-12-08T12:45:00"/>
        <d v="2020-12-08T13:15:00"/>
        <d v="2020-12-08T13:48:00"/>
        <d v="2020-12-09T08:12:00"/>
        <d v="2020-12-09T08:32:00"/>
        <d v="2020-12-09T14:05:00"/>
        <d v="2020-12-10T08:10:00"/>
        <d v="2020-12-10T08:15:00"/>
        <d v="2020-12-10T08:45:00"/>
        <d v="2020-12-10T13:30:00"/>
        <d v="2020-12-10T14:50:00"/>
        <d v="2020-12-10T19:00:00"/>
        <d v="2020-12-11T08:00:00"/>
        <d v="2020-12-11T08:05:00"/>
        <d v="2020-12-11T08:07:00"/>
        <d v="2020-12-11T08:15:00"/>
        <d v="2020-12-11T12:40:00"/>
        <d v="2020-12-11T13:25:00"/>
        <d v="2020-12-11T14:00:00"/>
        <d v="2020-12-11T15:15:00"/>
        <d v="2020-12-12T08:05:00"/>
        <d v="2020-12-12T12:10:00"/>
        <d v="2020-12-14T08:13:00"/>
        <d v="2020-12-14T08:16:00"/>
        <d v="2020-12-14T08:35:00"/>
        <d v="2020-12-14T10:20:00"/>
        <d v="2020-12-14T11:17:00"/>
        <d v="2020-12-14T13:24:00"/>
        <d v="2020-12-15T08:00:00"/>
        <d v="2020-12-15T08:09:00"/>
        <d v="2020-12-15T08:16:00"/>
        <d v="2020-12-15T13:15:00"/>
        <d v="2020-12-16T08:05:00"/>
        <d v="2020-12-16T08:20:00"/>
        <d v="2020-12-16T12:05:00"/>
        <d v="2020-12-17T08:02:00"/>
        <d v="2020-12-17T08:12:00"/>
        <d v="2020-12-17T12:20:00"/>
        <d v="2020-12-17T14:23:00"/>
        <d v="2020-12-18T08:07:00"/>
        <d v="2020-12-18T08:10:00"/>
        <d v="2020-12-18T17:55:00"/>
        <d v="2020-12-19T07:57:00"/>
        <d v="2020-12-19T08:05:00"/>
        <d v="2020-12-19T12:30:00"/>
        <d v="2020-12-21T08:00:00"/>
        <d v="2020-12-21T08:05:00"/>
        <d v="2020-12-21T08:08:00"/>
        <d v="2020-12-21T11:43:00"/>
        <d v="2020-12-21T14:45:00"/>
        <d v="2020-12-22T07:45:00"/>
        <d v="2020-12-22T08:10:00"/>
        <d v="2020-12-22T12:48:00"/>
        <d v="2020-12-23T08:15:00"/>
        <d v="2020-12-23T12:47:00"/>
        <d v="2020-12-23T14:50:00"/>
        <d v="2020-12-24T08:17:00"/>
        <d v="2020-12-24T08:56:00"/>
        <d v="2020-12-26T10:30:00"/>
        <d v="2020-12-26T19:30:00"/>
        <d v="2020-12-28T16:30:00"/>
        <d v="2020-12-29T07:56:00"/>
        <d v="2020-12-29T08:19:00"/>
        <d v="2020-12-29T12:39:00"/>
        <d v="2020-12-30T07:44:00"/>
        <d v="2020-12-30T13:33:00"/>
      </sharedItems>
    </cacheField>
    <cacheField name="Location ID" numFmtId="0">
      <sharedItems containsSemiMixedTypes="0" containsString="0" containsNumber="1" containsInteger="1" minValue="1" maxValue="6"/>
    </cacheField>
    <cacheField name="Priority" numFmtId="0">
      <sharedItems/>
    </cacheField>
    <cacheField name="Operation Type" numFmtId="0">
      <sharedItems count="7">
        <s v="Valve"/>
        <s v="Major cardiac"/>
        <s v="CABG"/>
        <s v="CABG &amp; Valve"/>
        <s v="Aorta surgery"/>
        <s v="None"/>
        <s v="Other"/>
      </sharedItems>
    </cacheField>
    <cacheField name="Surgeon Name" numFmtId="0">
      <sharedItems count="17">
        <s v="S Scully"/>
        <s v="E Ellingson"/>
        <s v="I Ibbotson"/>
        <s v="W Wilkening"/>
        <s v="G Guy"/>
        <s v="A Abbott"/>
        <s v="K Doran "/>
        <s v="B Bryant"/>
        <s v="F Randle"/>
        <s v="C Cuthbert"/>
        <s v="L Shepard"/>
        <s v="H Hodgson"/>
        <s v="C Shasikaran"/>
        <s v="L LeBlanc"/>
        <s v="Multiple Surgeon Team"/>
        <s v="C Cheung"/>
        <s v="R Rubiella"/>
      </sharedItems>
    </cacheField>
    <cacheField name="Patient Age" numFmtId="0">
      <sharedItems containsSemiMixedTypes="0" containsString="0" containsNumber="1" containsInteger="1" minValue="17" maxValue="88"/>
    </cacheField>
    <cacheField name="Risk of Death % (Model 1)" numFmtId="0">
      <sharedItems containsSemiMixedTypes="0" containsString="0" containsNumber="1" minValue="0.88" maxValue="92.24"/>
    </cacheField>
    <cacheField name="Risk of Death % (Model 2)" numFmtId="0">
      <sharedItems containsSemiMixedTypes="0" containsString="0" containsNumber="1" minValue="0.5" maxValue="70.790000000000006"/>
    </cacheField>
    <cacheField name="Patient Status at Discharge" numFmtId="0">
      <sharedItems count="3">
        <s v="Alive"/>
        <s v="Died"/>
        <s v="Unknown"/>
      </sharedItems>
    </cacheField>
    <cacheField name="Creatinine at time of Surgery " numFmtId="0">
      <sharedItems containsSemiMixedTypes="0" containsString="0" containsNumber="1" minValue="16.100000000000001" maxValue="950"/>
    </cacheField>
    <cacheField name="Height" numFmtId="0">
      <sharedItems containsSemiMixedTypes="0" containsString="0" containsNumber="1" minValue="17.5" maxValue="195"/>
    </cacheField>
    <cacheField name="Weight" numFmtId="0">
      <sharedItems containsSemiMixedTypes="0" containsString="0" containsNumber="1" minValue="9.5" maxValue="185"/>
    </cacheField>
    <cacheField name="Ejection Fraction" numFmtId="0">
      <sharedItems containsSemiMixedTypes="0" containsString="0" containsNumber="1" containsInteger="1" minValue="10" maxValue="88"/>
    </cacheField>
    <cacheField name="Ejection fraction category" numFmtId="0">
      <sharedItems/>
    </cacheField>
  </cacheFields>
  <extLst>
    <ext xmlns:x14="http://schemas.microsoft.com/office/spreadsheetml/2009/9/main" uri="{725AE2AE-9491-48be-B2B4-4EB974FC3084}">
      <x14:pivotCacheDefinition pivotCacheId="10132812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5">
  <r>
    <n v="2"/>
    <x v="0"/>
    <x v="0"/>
    <n v="1"/>
    <s v="emergency"/>
    <x v="0"/>
    <x v="0"/>
    <n v="51"/>
    <n v="11.54"/>
    <n v="3.07"/>
    <x v="0"/>
    <n v="176"/>
    <n v="182"/>
    <n v="85"/>
    <n v="35"/>
    <s v="Moderate"/>
  </r>
  <r>
    <n v="3"/>
    <x v="1"/>
    <x v="1"/>
    <n v="3"/>
    <s v="elective"/>
    <x v="0"/>
    <x v="1"/>
    <n v="59"/>
    <n v="1.51"/>
    <n v="0.75"/>
    <x v="0"/>
    <n v="93"/>
    <n v="151"/>
    <n v="87"/>
    <n v="61"/>
    <s v="Good"/>
  </r>
  <r>
    <n v="4"/>
    <x v="2"/>
    <x v="2"/>
    <n v="5"/>
    <s v="emergency"/>
    <x v="1"/>
    <x v="2"/>
    <n v="61"/>
    <n v="18.79"/>
    <n v="12.58"/>
    <x v="1"/>
    <n v="81"/>
    <n v="180"/>
    <n v="99"/>
    <n v="58"/>
    <s v="Good"/>
  </r>
  <r>
    <n v="5"/>
    <x v="3"/>
    <x v="3"/>
    <n v="5"/>
    <s v="elective"/>
    <x v="0"/>
    <x v="3"/>
    <n v="62"/>
    <n v="6.61"/>
    <n v="11.54"/>
    <x v="0"/>
    <n v="110"/>
    <n v="185"/>
    <n v="82"/>
    <n v="60"/>
    <s v="Good"/>
  </r>
  <r>
    <n v="6"/>
    <x v="4"/>
    <x v="4"/>
    <n v="3"/>
    <s v="urgent"/>
    <x v="2"/>
    <x v="1"/>
    <n v="57"/>
    <n v="1.51"/>
    <n v="0.8"/>
    <x v="0"/>
    <n v="77"/>
    <n v="157"/>
    <n v="57"/>
    <n v="64"/>
    <s v="Good"/>
  </r>
  <r>
    <n v="7"/>
    <x v="5"/>
    <x v="5"/>
    <n v="6"/>
    <s v="urgent"/>
    <x v="0"/>
    <x v="4"/>
    <n v="70"/>
    <n v="3.08"/>
    <n v="1.23"/>
    <x v="0"/>
    <n v="98"/>
    <n v="173"/>
    <n v="105"/>
    <n v="40"/>
    <s v="Moderate"/>
  </r>
  <r>
    <n v="8"/>
    <x v="6"/>
    <x v="6"/>
    <n v="3"/>
    <s v="urgent"/>
    <x v="2"/>
    <x v="1"/>
    <n v="74"/>
    <n v="5.96"/>
    <n v="2.2999999999999998"/>
    <x v="0"/>
    <n v="91"/>
    <n v="167"/>
    <n v="82"/>
    <n v="65"/>
    <s v="Good"/>
  </r>
  <r>
    <n v="9"/>
    <x v="7"/>
    <x v="7"/>
    <n v="2"/>
    <s v="elective"/>
    <x v="2"/>
    <x v="0"/>
    <n v="75"/>
    <n v="2.52"/>
    <n v="0.77"/>
    <x v="0"/>
    <n v="102"/>
    <n v="177"/>
    <n v="97"/>
    <n v="55"/>
    <s v="Good"/>
  </r>
  <r>
    <n v="10"/>
    <x v="7"/>
    <x v="8"/>
    <n v="5"/>
    <s v="elective"/>
    <x v="0"/>
    <x v="5"/>
    <n v="78"/>
    <n v="10.29"/>
    <n v="4.84"/>
    <x v="0"/>
    <n v="79"/>
    <n v="183"/>
    <n v="117"/>
    <n v="55"/>
    <s v="Good"/>
  </r>
  <r>
    <n v="11"/>
    <x v="8"/>
    <x v="9"/>
    <n v="2"/>
    <s v="elective"/>
    <x v="2"/>
    <x v="0"/>
    <n v="59"/>
    <n v="0.88"/>
    <n v="0.96"/>
    <x v="0"/>
    <n v="80"/>
    <n v="173"/>
    <n v="93"/>
    <n v="58"/>
    <s v="Good"/>
  </r>
  <r>
    <n v="12"/>
    <x v="9"/>
    <x v="10"/>
    <n v="5"/>
    <s v="elective"/>
    <x v="0"/>
    <x v="5"/>
    <n v="72"/>
    <n v="8.3000000000000007"/>
    <n v="3.75"/>
    <x v="0"/>
    <n v="81"/>
    <n v="174"/>
    <n v="103"/>
    <n v="50"/>
    <s v="Moderate"/>
  </r>
  <r>
    <n v="13"/>
    <x v="10"/>
    <x v="11"/>
    <n v="3"/>
    <s v="elective"/>
    <x v="2"/>
    <x v="3"/>
    <n v="44"/>
    <n v="2.02"/>
    <n v="0.64"/>
    <x v="0"/>
    <n v="81"/>
    <n v="169"/>
    <n v="86"/>
    <n v="52"/>
    <s v="Good"/>
  </r>
  <r>
    <n v="14"/>
    <x v="11"/>
    <x v="12"/>
    <n v="6"/>
    <s v="elective"/>
    <x v="2"/>
    <x v="6"/>
    <n v="62"/>
    <n v="1.07"/>
    <n v="0.59"/>
    <x v="0"/>
    <n v="160"/>
    <n v="176"/>
    <n v="70"/>
    <n v="60"/>
    <s v="Good"/>
  </r>
  <r>
    <n v="15"/>
    <x v="12"/>
    <x v="13"/>
    <n v="2"/>
    <s v="elective"/>
    <x v="2"/>
    <x v="7"/>
    <n v="72"/>
    <n v="3.35"/>
    <n v="1.1499999999999999"/>
    <x v="0"/>
    <n v="127"/>
    <n v="180"/>
    <n v="97"/>
    <n v="70"/>
    <s v="Good"/>
  </r>
  <r>
    <n v="16"/>
    <x v="11"/>
    <x v="14"/>
    <n v="5"/>
    <s v="elective"/>
    <x v="0"/>
    <x v="5"/>
    <n v="65"/>
    <n v="6.42"/>
    <n v="1.83"/>
    <x v="0"/>
    <n v="78"/>
    <n v="182"/>
    <n v="115"/>
    <n v="55"/>
    <s v="Good"/>
  </r>
  <r>
    <n v="17"/>
    <x v="13"/>
    <x v="15"/>
    <n v="3"/>
    <s v="urgent"/>
    <x v="2"/>
    <x v="3"/>
    <n v="78"/>
    <n v="5.16"/>
    <n v="1.48"/>
    <x v="0"/>
    <n v="62"/>
    <n v="170"/>
    <n v="87"/>
    <n v="45"/>
    <s v="Moderate"/>
  </r>
  <r>
    <n v="18"/>
    <x v="14"/>
    <x v="16"/>
    <n v="2"/>
    <s v="urgent"/>
    <x v="2"/>
    <x v="7"/>
    <n v="73"/>
    <n v="2.21"/>
    <n v="1.73"/>
    <x v="0"/>
    <n v="84"/>
    <n v="150"/>
    <n v="48"/>
    <n v="49"/>
    <s v="Moderate"/>
  </r>
  <r>
    <n v="19"/>
    <x v="15"/>
    <x v="17"/>
    <n v="5"/>
    <s v="urgent"/>
    <x v="2"/>
    <x v="4"/>
    <n v="85"/>
    <n v="11.62"/>
    <n v="8.48"/>
    <x v="0"/>
    <n v="82"/>
    <n v="174"/>
    <n v="103"/>
    <n v="55"/>
    <s v="Good"/>
  </r>
  <r>
    <n v="20"/>
    <x v="16"/>
    <x v="18"/>
    <n v="2"/>
    <s v="elective"/>
    <x v="3"/>
    <x v="2"/>
    <n v="76"/>
    <n v="4.53"/>
    <n v="3.48"/>
    <x v="0"/>
    <n v="90"/>
    <n v="188"/>
    <n v="85"/>
    <n v="43"/>
    <s v="Moderate"/>
  </r>
  <r>
    <n v="21"/>
    <x v="17"/>
    <x v="19"/>
    <n v="3"/>
    <s v="urgent"/>
    <x v="3"/>
    <x v="1"/>
    <n v="83"/>
    <n v="13.8"/>
    <n v="8.5"/>
    <x v="0"/>
    <n v="80"/>
    <n v="173"/>
    <n v="100"/>
    <n v="60"/>
    <s v="Good"/>
  </r>
  <r>
    <n v="22"/>
    <x v="18"/>
    <x v="20"/>
    <n v="6"/>
    <s v="elective"/>
    <x v="0"/>
    <x v="5"/>
    <n v="72"/>
    <n v="5.62"/>
    <n v="1.62"/>
    <x v="0"/>
    <n v="71"/>
    <n v="176"/>
    <n v="88"/>
    <n v="45"/>
    <s v="Moderate"/>
  </r>
  <r>
    <n v="23"/>
    <x v="17"/>
    <x v="21"/>
    <n v="6"/>
    <s v="urgent"/>
    <x v="3"/>
    <x v="5"/>
    <n v="69"/>
    <n v="4.6500000000000004"/>
    <n v="2.4500000000000002"/>
    <x v="0"/>
    <n v="91"/>
    <n v="157"/>
    <n v="59"/>
    <n v="58"/>
    <s v="Good"/>
  </r>
  <r>
    <n v="24"/>
    <x v="19"/>
    <x v="22"/>
    <n v="3"/>
    <s v="urgent"/>
    <x v="2"/>
    <x v="7"/>
    <n v="79"/>
    <n v="8.1300000000000008"/>
    <n v="2.5099999999999998"/>
    <x v="0"/>
    <n v="103"/>
    <n v="174"/>
    <n v="90"/>
    <n v="47"/>
    <s v="Moderate"/>
  </r>
  <r>
    <n v="25"/>
    <x v="20"/>
    <x v="23"/>
    <n v="6"/>
    <s v="urgent"/>
    <x v="3"/>
    <x v="5"/>
    <n v="75"/>
    <n v="4.25"/>
    <n v="1.8"/>
    <x v="0"/>
    <n v="99"/>
    <n v="165"/>
    <n v="70"/>
    <n v="45"/>
    <s v="Moderate"/>
  </r>
  <r>
    <n v="26"/>
    <x v="21"/>
    <x v="24"/>
    <n v="5"/>
    <s v="elective"/>
    <x v="0"/>
    <x v="8"/>
    <n v="74"/>
    <n v="8.08"/>
    <n v="1.9"/>
    <x v="0"/>
    <n v="76"/>
    <n v="168"/>
    <n v="73"/>
    <n v="45"/>
    <s v="Moderate"/>
  </r>
  <r>
    <n v="27"/>
    <x v="22"/>
    <x v="25"/>
    <n v="5"/>
    <s v="elective"/>
    <x v="0"/>
    <x v="8"/>
    <n v="59"/>
    <n v="2.44"/>
    <n v="0.67"/>
    <x v="0"/>
    <n v="89"/>
    <n v="170"/>
    <n v="120"/>
    <n v="58"/>
    <s v="Good"/>
  </r>
  <r>
    <n v="28"/>
    <x v="23"/>
    <x v="26"/>
    <n v="2"/>
    <s v="elective"/>
    <x v="0"/>
    <x v="2"/>
    <n v="68"/>
    <n v="2.71"/>
    <n v="0.63"/>
    <x v="0"/>
    <n v="80"/>
    <n v="177"/>
    <n v="88"/>
    <n v="55"/>
    <s v="Good"/>
  </r>
  <r>
    <n v="29"/>
    <x v="24"/>
    <x v="27"/>
    <n v="6"/>
    <s v="elective"/>
    <x v="0"/>
    <x v="5"/>
    <n v="75"/>
    <n v="11.71"/>
    <n v="4.07"/>
    <x v="0"/>
    <n v="72"/>
    <n v="172"/>
    <n v="80"/>
    <n v="52"/>
    <s v="Good"/>
  </r>
  <r>
    <n v="30"/>
    <x v="25"/>
    <x v="28"/>
    <n v="3"/>
    <s v="urgent"/>
    <x v="2"/>
    <x v="7"/>
    <n v="80"/>
    <n v="13.41"/>
    <n v="2.56"/>
    <x v="0"/>
    <n v="80"/>
    <n v="17.5"/>
    <n v="81"/>
    <n v="55"/>
    <s v="Good"/>
  </r>
  <r>
    <n v="31"/>
    <x v="26"/>
    <x v="29"/>
    <n v="6"/>
    <s v="elective"/>
    <x v="4"/>
    <x v="9"/>
    <n v="75"/>
    <n v="45.85"/>
    <n v="19.77"/>
    <x v="1"/>
    <n v="81"/>
    <n v="180"/>
    <n v="104"/>
    <n v="60"/>
    <s v="Good"/>
  </r>
  <r>
    <n v="32"/>
    <x v="27"/>
    <x v="30"/>
    <n v="5"/>
    <s v="urgent"/>
    <x v="2"/>
    <x v="10"/>
    <n v="79"/>
    <n v="5.5"/>
    <n v="1.52"/>
    <x v="0"/>
    <n v="180"/>
    <n v="178"/>
    <n v="86"/>
    <n v="61"/>
    <s v="Good"/>
  </r>
  <r>
    <n v="33"/>
    <x v="28"/>
    <x v="31"/>
    <n v="2"/>
    <s v="elective"/>
    <x v="2"/>
    <x v="7"/>
    <n v="74"/>
    <n v="2.36"/>
    <n v="1.01"/>
    <x v="0"/>
    <n v="66"/>
    <n v="182"/>
    <n v="95"/>
    <n v="55"/>
    <s v="Good"/>
  </r>
  <r>
    <n v="34"/>
    <x v="29"/>
    <x v="32"/>
    <n v="5"/>
    <s v="elective"/>
    <x v="0"/>
    <x v="5"/>
    <n v="77"/>
    <n v="7.67"/>
    <n v="1.77"/>
    <x v="0"/>
    <n v="74"/>
    <n v="182"/>
    <n v="42"/>
    <n v="72"/>
    <s v="Good"/>
  </r>
  <r>
    <n v="35"/>
    <x v="30"/>
    <x v="33"/>
    <n v="2"/>
    <s v="urgent"/>
    <x v="2"/>
    <x v="7"/>
    <n v="76"/>
    <n v="5.92"/>
    <n v="1.8"/>
    <x v="0"/>
    <n v="92"/>
    <n v="163"/>
    <n v="80"/>
    <n v="50"/>
    <s v="Moderate"/>
  </r>
  <r>
    <n v="36"/>
    <x v="31"/>
    <x v="34"/>
    <n v="3"/>
    <s v="elective"/>
    <x v="0"/>
    <x v="8"/>
    <n v="74"/>
    <n v="5.46"/>
    <n v="5.2"/>
    <x v="0"/>
    <n v="66"/>
    <n v="167"/>
    <n v="50"/>
    <n v="55"/>
    <s v="Good"/>
  </r>
  <r>
    <n v="37"/>
    <x v="32"/>
    <x v="35"/>
    <n v="5"/>
    <s v="elective"/>
    <x v="2"/>
    <x v="9"/>
    <n v="72"/>
    <n v="9.18"/>
    <n v="3.4"/>
    <x v="0"/>
    <n v="70"/>
    <n v="160"/>
    <n v="71"/>
    <n v="55"/>
    <s v="Good"/>
  </r>
  <r>
    <n v="38"/>
    <x v="33"/>
    <x v="36"/>
    <n v="6"/>
    <s v="elective"/>
    <x v="3"/>
    <x v="11"/>
    <n v="78"/>
    <n v="7.62"/>
    <n v="3.37"/>
    <x v="0"/>
    <n v="99"/>
    <n v="165"/>
    <n v="93"/>
    <n v="65"/>
    <s v="Good"/>
  </r>
  <r>
    <n v="39"/>
    <x v="34"/>
    <x v="37"/>
    <n v="3"/>
    <s v="elective"/>
    <x v="0"/>
    <x v="8"/>
    <n v="50"/>
    <n v="1.51"/>
    <n v="0.8"/>
    <x v="0"/>
    <n v="78"/>
    <n v="156"/>
    <n v="119"/>
    <n v="65"/>
    <s v="Good"/>
  </r>
  <r>
    <n v="40"/>
    <x v="35"/>
    <x v="38"/>
    <n v="2"/>
    <s v="elective"/>
    <x v="2"/>
    <x v="7"/>
    <n v="80"/>
    <n v="7.71"/>
    <n v="2.61"/>
    <x v="0"/>
    <n v="79"/>
    <n v="174"/>
    <n v="80"/>
    <n v="50"/>
    <s v="Moderate"/>
  </r>
  <r>
    <n v="41"/>
    <x v="36"/>
    <x v="39"/>
    <n v="1"/>
    <s v="emergency"/>
    <x v="3"/>
    <x v="7"/>
    <n v="76"/>
    <n v="71.760000000000005"/>
    <n v="33.46"/>
    <x v="1"/>
    <n v="83"/>
    <n v="165"/>
    <n v="104"/>
    <n v="55"/>
    <s v="Good"/>
  </r>
  <r>
    <n v="42"/>
    <x v="37"/>
    <x v="40"/>
    <n v="2"/>
    <s v="elective"/>
    <x v="0"/>
    <x v="5"/>
    <n v="59"/>
    <n v="1.51"/>
    <n v="1.75"/>
    <x v="0"/>
    <n v="99"/>
    <n v="180"/>
    <n v="108"/>
    <n v="52"/>
    <s v="Good"/>
  </r>
  <r>
    <n v="43"/>
    <x v="38"/>
    <x v="41"/>
    <n v="2"/>
    <s v="elective"/>
    <x v="2"/>
    <x v="9"/>
    <n v="59"/>
    <n v="1.33"/>
    <n v="0.92"/>
    <x v="0"/>
    <n v="85"/>
    <n v="171"/>
    <n v="92"/>
    <n v="47"/>
    <s v="Moderate"/>
  </r>
  <r>
    <n v="44"/>
    <x v="39"/>
    <x v="42"/>
    <n v="6"/>
    <s v="elective"/>
    <x v="3"/>
    <x v="6"/>
    <n v="75"/>
    <n v="7.88"/>
    <n v="2.48"/>
    <x v="0"/>
    <n v="74"/>
    <n v="176"/>
    <n v="76"/>
    <n v="60"/>
    <s v="Good"/>
  </r>
  <r>
    <n v="45"/>
    <x v="40"/>
    <x v="42"/>
    <n v="5"/>
    <s v="urgent"/>
    <x v="2"/>
    <x v="12"/>
    <n v="83"/>
    <n v="11.82"/>
    <n v="9.81"/>
    <x v="0"/>
    <n v="78"/>
    <n v="177"/>
    <n v="74"/>
    <n v="60"/>
    <s v="Good"/>
  </r>
  <r>
    <n v="46"/>
    <x v="39"/>
    <x v="43"/>
    <n v="2"/>
    <s v="elective"/>
    <x v="2"/>
    <x v="11"/>
    <n v="64"/>
    <n v="1.23"/>
    <n v="0.63"/>
    <x v="0"/>
    <n v="76"/>
    <n v="181"/>
    <n v="88"/>
    <n v="48"/>
    <s v="Moderate"/>
  </r>
  <r>
    <n v="47"/>
    <x v="39"/>
    <x v="44"/>
    <n v="3"/>
    <s v="elective"/>
    <x v="4"/>
    <x v="1"/>
    <n v="75"/>
    <n v="16.46"/>
    <n v="3.1"/>
    <x v="0"/>
    <n v="78"/>
    <n v="175"/>
    <n v="116"/>
    <n v="55"/>
    <s v="Good"/>
  </r>
  <r>
    <n v="48"/>
    <x v="41"/>
    <x v="45"/>
    <n v="5"/>
    <s v="elective"/>
    <x v="3"/>
    <x v="12"/>
    <n v="83"/>
    <n v="7.03"/>
    <n v="2.4700000000000002"/>
    <x v="0"/>
    <n v="75"/>
    <n v="179"/>
    <n v="77"/>
    <n v="48"/>
    <s v="Moderate"/>
  </r>
  <r>
    <n v="49"/>
    <x v="42"/>
    <x v="46"/>
    <n v="6"/>
    <s v="urgent"/>
    <x v="2"/>
    <x v="6"/>
    <n v="47"/>
    <n v="2.2799999999999998"/>
    <n v="1.0900000000000001"/>
    <x v="0"/>
    <n v="78"/>
    <n v="145"/>
    <n v="68"/>
    <n v="45"/>
    <s v="Moderate"/>
  </r>
  <r>
    <n v="50"/>
    <x v="43"/>
    <x v="47"/>
    <n v="2"/>
    <s v="elective"/>
    <x v="2"/>
    <x v="11"/>
    <n v="69"/>
    <n v="1.7"/>
    <n v="0.65"/>
    <x v="0"/>
    <n v="75"/>
    <n v="173"/>
    <n v="93"/>
    <n v="60"/>
    <s v="Good"/>
  </r>
  <r>
    <n v="51"/>
    <x v="44"/>
    <x v="48"/>
    <n v="2"/>
    <s v="elective"/>
    <x v="3"/>
    <x v="2"/>
    <n v="78"/>
    <n v="7.01"/>
    <n v="2.68"/>
    <x v="0"/>
    <n v="83"/>
    <n v="175"/>
    <n v="81"/>
    <n v="52"/>
    <s v="Good"/>
  </r>
  <r>
    <n v="52"/>
    <x v="45"/>
    <x v="49"/>
    <n v="3"/>
    <s v="elective"/>
    <x v="2"/>
    <x v="3"/>
    <n v="77"/>
    <n v="2.87"/>
    <n v="0.81"/>
    <x v="0"/>
    <n v="98"/>
    <n v="182"/>
    <n v="97"/>
    <n v="29"/>
    <s v="Poor"/>
  </r>
  <r>
    <n v="53"/>
    <x v="46"/>
    <x v="50"/>
    <n v="6"/>
    <s v="elective"/>
    <x v="0"/>
    <x v="5"/>
    <n v="82"/>
    <n v="6.61"/>
    <n v="1.4"/>
    <x v="0"/>
    <n v="97"/>
    <n v="178"/>
    <n v="88"/>
    <n v="61"/>
    <s v="Good"/>
  </r>
  <r>
    <n v="54"/>
    <x v="47"/>
    <x v="51"/>
    <n v="5"/>
    <s v="urgent"/>
    <x v="2"/>
    <x v="4"/>
    <n v="61"/>
    <n v="9.6"/>
    <n v="4.91"/>
    <x v="0"/>
    <n v="75"/>
    <n v="171"/>
    <n v="70"/>
    <n v="45"/>
    <s v="Moderate"/>
  </r>
  <r>
    <n v="55"/>
    <x v="48"/>
    <x v="52"/>
    <n v="5"/>
    <s v="emergency"/>
    <x v="2"/>
    <x v="0"/>
    <n v="73"/>
    <n v="29.14"/>
    <n v="5.31"/>
    <x v="0"/>
    <n v="84"/>
    <n v="162"/>
    <n v="64"/>
    <n v="42"/>
    <s v="Moderate"/>
  </r>
  <r>
    <n v="56"/>
    <x v="49"/>
    <x v="53"/>
    <n v="3"/>
    <s v="urgent"/>
    <x v="2"/>
    <x v="0"/>
    <n v="71"/>
    <n v="9.09"/>
    <n v="3.75"/>
    <x v="0"/>
    <n v="92"/>
    <n v="164"/>
    <n v="76"/>
    <n v="55"/>
    <s v="Good"/>
  </r>
  <r>
    <n v="57"/>
    <x v="50"/>
    <x v="54"/>
    <n v="6"/>
    <s v="elective"/>
    <x v="0"/>
    <x v="1"/>
    <n v="83"/>
    <n v="9.52"/>
    <n v="1.33"/>
    <x v="0"/>
    <n v="62"/>
    <n v="160"/>
    <n v="79"/>
    <n v="60"/>
    <s v="Good"/>
  </r>
  <r>
    <n v="58"/>
    <x v="51"/>
    <x v="55"/>
    <n v="3"/>
    <s v="elective"/>
    <x v="2"/>
    <x v="11"/>
    <n v="74"/>
    <n v="2.36"/>
    <n v="0.83"/>
    <x v="0"/>
    <n v="152"/>
    <n v="148"/>
    <n v="48"/>
    <n v="35"/>
    <s v="Moderate"/>
  </r>
  <r>
    <n v="59"/>
    <x v="52"/>
    <x v="56"/>
    <n v="6"/>
    <s v="elective"/>
    <x v="0"/>
    <x v="1"/>
    <n v="62"/>
    <n v="2.76"/>
    <n v="0.81"/>
    <x v="0"/>
    <n v="64"/>
    <n v="175"/>
    <n v="98"/>
    <n v="55"/>
    <s v="Good"/>
  </r>
  <r>
    <n v="60"/>
    <x v="53"/>
    <x v="57"/>
    <n v="5"/>
    <s v="emergency"/>
    <x v="2"/>
    <x v="0"/>
    <n v="80"/>
    <n v="16.170000000000002"/>
    <n v="7.86"/>
    <x v="0"/>
    <n v="109"/>
    <n v="175"/>
    <n v="101"/>
    <n v="65"/>
    <s v="Good"/>
  </r>
  <r>
    <n v="61"/>
    <x v="54"/>
    <x v="58"/>
    <n v="2"/>
    <s v="urgent"/>
    <x v="3"/>
    <x v="7"/>
    <n v="77"/>
    <n v="10.86"/>
    <n v="4.08"/>
    <x v="0"/>
    <n v="63"/>
    <n v="173"/>
    <n v="72"/>
    <n v="40"/>
    <s v="Moderate"/>
  </r>
  <r>
    <n v="62"/>
    <x v="55"/>
    <x v="59"/>
    <n v="1"/>
    <s v="elective"/>
    <x v="4"/>
    <x v="6"/>
    <n v="61"/>
    <n v="13.18"/>
    <n v="6.66"/>
    <x v="0"/>
    <n v="133"/>
    <n v="174"/>
    <n v="75"/>
    <n v="55"/>
    <s v="Good"/>
  </r>
  <r>
    <n v="63"/>
    <x v="56"/>
    <x v="60"/>
    <n v="6"/>
    <s v="elective"/>
    <x v="0"/>
    <x v="9"/>
    <n v="58"/>
    <n v="2.08"/>
    <n v="0.69"/>
    <x v="0"/>
    <n v="109"/>
    <n v="166"/>
    <n v="97"/>
    <n v="60"/>
    <s v="Good"/>
  </r>
  <r>
    <n v="64"/>
    <x v="57"/>
    <x v="61"/>
    <n v="5"/>
    <s v="elective"/>
    <x v="3"/>
    <x v="12"/>
    <n v="79"/>
    <n v="14.08"/>
    <n v="3.23"/>
    <x v="0"/>
    <n v="137"/>
    <n v="171"/>
    <n v="128"/>
    <n v="55"/>
    <s v="Good"/>
  </r>
  <r>
    <n v="65"/>
    <x v="58"/>
    <x v="62"/>
    <n v="3"/>
    <s v="emergency"/>
    <x v="2"/>
    <x v="1"/>
    <n v="76"/>
    <n v="70.94"/>
    <n v="30.17"/>
    <x v="0"/>
    <n v="93"/>
    <n v="168"/>
    <n v="77"/>
    <n v="60"/>
    <s v="Good"/>
  </r>
  <r>
    <n v="66"/>
    <x v="54"/>
    <x v="63"/>
    <n v="6"/>
    <s v="urgent"/>
    <x v="2"/>
    <x v="9"/>
    <n v="78"/>
    <n v="3.06"/>
    <n v="1.1399999999999999"/>
    <x v="0"/>
    <n v="91"/>
    <n v="166"/>
    <n v="84"/>
    <n v="61"/>
    <s v="Good"/>
  </r>
  <r>
    <n v="67"/>
    <x v="59"/>
    <x v="64"/>
    <n v="3"/>
    <s v="elective"/>
    <x v="0"/>
    <x v="1"/>
    <n v="66"/>
    <n v="3.57"/>
    <n v="0.9"/>
    <x v="0"/>
    <n v="98"/>
    <n v="185"/>
    <n v="106"/>
    <n v="40"/>
    <s v="Moderate"/>
  </r>
  <r>
    <n v="68"/>
    <x v="60"/>
    <x v="65"/>
    <n v="2"/>
    <s v="urgent"/>
    <x v="2"/>
    <x v="7"/>
    <n v="64"/>
    <n v="1.23"/>
    <n v="0.86"/>
    <x v="0"/>
    <n v="75"/>
    <n v="168"/>
    <n v="75"/>
    <n v="50"/>
    <s v="Moderate"/>
  </r>
  <r>
    <n v="69"/>
    <x v="61"/>
    <x v="66"/>
    <n v="3"/>
    <s v="urgent"/>
    <x v="0"/>
    <x v="8"/>
    <n v="78"/>
    <n v="5.14"/>
    <n v="1.1399999999999999"/>
    <x v="0"/>
    <n v="71"/>
    <n v="166"/>
    <n v="81"/>
    <n v="55"/>
    <s v="Good"/>
  </r>
  <r>
    <n v="70"/>
    <x v="62"/>
    <x v="67"/>
    <n v="5"/>
    <s v="urgent"/>
    <x v="2"/>
    <x v="6"/>
    <n v="57"/>
    <n v="0.88"/>
    <n v="0.77"/>
    <x v="0"/>
    <n v="68"/>
    <n v="179"/>
    <n v="79"/>
    <n v="63"/>
    <s v="Good"/>
  </r>
  <r>
    <n v="71"/>
    <x v="63"/>
    <x v="68"/>
    <n v="2"/>
    <s v="urgent"/>
    <x v="3"/>
    <x v="7"/>
    <n v="81"/>
    <n v="6.21"/>
    <n v="3.81"/>
    <x v="0"/>
    <n v="63"/>
    <n v="173"/>
    <n v="68"/>
    <n v="65"/>
    <s v="Good"/>
  </r>
  <r>
    <n v="72"/>
    <x v="64"/>
    <x v="69"/>
    <n v="6"/>
    <s v="elective"/>
    <x v="0"/>
    <x v="11"/>
    <n v="75"/>
    <n v="11.47"/>
    <n v="6.82"/>
    <x v="0"/>
    <n v="61"/>
    <n v="159"/>
    <n v="71"/>
    <n v="55"/>
    <s v="Good"/>
  </r>
  <r>
    <n v="73"/>
    <x v="65"/>
    <x v="70"/>
    <n v="5"/>
    <s v="elective"/>
    <x v="4"/>
    <x v="6"/>
    <n v="29"/>
    <n v="4.6500000000000004"/>
    <n v="1.83"/>
    <x v="0"/>
    <n v="95"/>
    <n v="166"/>
    <n v="84"/>
    <n v="45"/>
    <s v="Moderate"/>
  </r>
  <r>
    <n v="74"/>
    <x v="66"/>
    <x v="71"/>
    <n v="3"/>
    <s v="elective"/>
    <x v="0"/>
    <x v="8"/>
    <n v="83"/>
    <n v="9.52"/>
    <n v="1.2"/>
    <x v="0"/>
    <n v="126"/>
    <n v="178"/>
    <n v="88"/>
    <n v="61"/>
    <s v="Good"/>
  </r>
  <r>
    <n v="75"/>
    <x v="67"/>
    <x v="72"/>
    <n v="2"/>
    <s v="elective"/>
    <x v="0"/>
    <x v="8"/>
    <n v="70"/>
    <n v="3.08"/>
    <n v="1.54"/>
    <x v="0"/>
    <n v="78"/>
    <n v="174"/>
    <n v="83"/>
    <n v="55"/>
    <s v="Good"/>
  </r>
  <r>
    <n v="76"/>
    <x v="68"/>
    <x v="73"/>
    <n v="3"/>
    <s v="elective"/>
    <x v="0"/>
    <x v="3"/>
    <n v="74"/>
    <n v="5.46"/>
    <n v="1.67"/>
    <x v="0"/>
    <n v="950"/>
    <n v="183"/>
    <n v="87"/>
    <n v="44"/>
    <s v="Good"/>
  </r>
  <r>
    <n v="77"/>
    <x v="69"/>
    <x v="73"/>
    <n v="6"/>
    <s v="elective"/>
    <x v="2"/>
    <x v="1"/>
    <n v="71"/>
    <n v="1.94"/>
    <n v="0.92"/>
    <x v="0"/>
    <n v="78"/>
    <n v="162"/>
    <n v="83"/>
    <n v="65"/>
    <s v="Good"/>
  </r>
  <r>
    <n v="78"/>
    <x v="69"/>
    <x v="74"/>
    <n v="5"/>
    <s v="elective"/>
    <x v="3"/>
    <x v="12"/>
    <n v="60"/>
    <n v="2.42"/>
    <n v="1.58"/>
    <x v="0"/>
    <n v="107"/>
    <n v="164"/>
    <n v="82"/>
    <n v="45"/>
    <s v="Moderate"/>
  </r>
  <r>
    <n v="79"/>
    <x v="70"/>
    <x v="75"/>
    <n v="2"/>
    <s v="elective"/>
    <x v="0"/>
    <x v="5"/>
    <n v="87"/>
    <n v="13.06"/>
    <n v="3.74"/>
    <x v="0"/>
    <n v="73"/>
    <n v="166"/>
    <n v="61"/>
    <n v="25"/>
    <s v="Poor"/>
  </r>
  <r>
    <n v="80"/>
    <x v="71"/>
    <x v="76"/>
    <n v="3"/>
    <s v="urgent"/>
    <x v="2"/>
    <x v="3"/>
    <n v="70"/>
    <n v="3.09"/>
    <n v="1.18"/>
    <x v="0"/>
    <n v="107"/>
    <n v="172"/>
    <n v="87"/>
    <n v="47"/>
    <s v="Moderate"/>
  </r>
  <r>
    <n v="81"/>
    <x v="72"/>
    <x v="77"/>
    <n v="5"/>
    <s v="elective"/>
    <x v="3"/>
    <x v="12"/>
    <n v="83"/>
    <n v="26.63"/>
    <n v="7.95"/>
    <x v="0"/>
    <n v="95"/>
    <n v="171"/>
    <n v="99"/>
    <n v="55"/>
    <s v="Good"/>
  </r>
  <r>
    <n v="82"/>
    <x v="73"/>
    <x v="78"/>
    <n v="2"/>
    <s v="urgent"/>
    <x v="2"/>
    <x v="0"/>
    <n v="52"/>
    <n v="1.51"/>
    <n v="0.8"/>
    <x v="0"/>
    <n v="72"/>
    <n v="174"/>
    <n v="75"/>
    <n v="43"/>
    <s v="Moderate"/>
  </r>
  <r>
    <n v="83"/>
    <x v="74"/>
    <x v="79"/>
    <n v="5"/>
    <s v="elective"/>
    <x v="3"/>
    <x v="4"/>
    <n v="68"/>
    <n v="4.3600000000000003"/>
    <n v="1.74"/>
    <x v="0"/>
    <n v="67"/>
    <n v="178"/>
    <n v="80"/>
    <n v="60"/>
    <s v="Good"/>
  </r>
  <r>
    <n v="84"/>
    <x v="75"/>
    <x v="80"/>
    <n v="6"/>
    <s v="elective"/>
    <x v="0"/>
    <x v="5"/>
    <n v="72"/>
    <n v="5.24"/>
    <n v="3.13"/>
    <x v="0"/>
    <n v="82"/>
    <n v="152"/>
    <n v="64"/>
    <n v="55"/>
    <s v="Good"/>
  </r>
  <r>
    <n v="85"/>
    <x v="76"/>
    <x v="81"/>
    <n v="2"/>
    <s v="elective"/>
    <x v="0"/>
    <x v="2"/>
    <n v="57"/>
    <n v="2.27"/>
    <n v="0.69"/>
    <x v="0"/>
    <n v="80"/>
    <n v="164"/>
    <n v="80"/>
    <n v="59"/>
    <s v="Good"/>
  </r>
  <r>
    <n v="86"/>
    <x v="77"/>
    <x v="82"/>
    <n v="6"/>
    <s v="elective"/>
    <x v="3"/>
    <x v="5"/>
    <n v="55"/>
    <n v="3.37"/>
    <n v="1.44"/>
    <x v="0"/>
    <n v="70"/>
    <n v="167"/>
    <n v="86"/>
    <n v="55"/>
    <s v="Good"/>
  </r>
  <r>
    <n v="87"/>
    <x v="78"/>
    <x v="83"/>
    <n v="3"/>
    <s v="urgent"/>
    <x v="2"/>
    <x v="1"/>
    <n v="79"/>
    <n v="5.23"/>
    <n v="2.12"/>
    <x v="0"/>
    <n v="74"/>
    <n v="176"/>
    <n v="110"/>
    <n v="65"/>
    <s v="Good"/>
  </r>
  <r>
    <n v="88"/>
    <x v="79"/>
    <x v="84"/>
    <n v="3"/>
    <s v="elective"/>
    <x v="3"/>
    <x v="1"/>
    <n v="70"/>
    <n v="4.95"/>
    <n v="1.84"/>
    <x v="0"/>
    <n v="65"/>
    <n v="170"/>
    <n v="51"/>
    <n v="50"/>
    <s v="Moderate"/>
  </r>
  <r>
    <n v="89"/>
    <x v="80"/>
    <x v="85"/>
    <n v="6"/>
    <s v="urgent"/>
    <x v="2"/>
    <x v="12"/>
    <n v="72"/>
    <n v="3.11"/>
    <n v="1.64"/>
    <x v="0"/>
    <n v="131"/>
    <n v="173"/>
    <n v="88"/>
    <n v="45"/>
    <s v="Moderate"/>
  </r>
  <r>
    <n v="90"/>
    <x v="81"/>
    <x v="86"/>
    <n v="5"/>
    <s v="elective"/>
    <x v="0"/>
    <x v="8"/>
    <n v="72"/>
    <n v="5.24"/>
    <n v="2.97"/>
    <x v="0"/>
    <n v="65"/>
    <n v="171"/>
    <n v="100"/>
    <n v="70"/>
    <s v="Good"/>
  </r>
  <r>
    <n v="91"/>
    <x v="82"/>
    <x v="87"/>
    <n v="2"/>
    <s v="elective"/>
    <x v="0"/>
    <x v="2"/>
    <n v="42"/>
    <n v="1.51"/>
    <n v="0.68"/>
    <x v="0"/>
    <n v="71"/>
    <n v="165"/>
    <n v="69"/>
    <n v="54"/>
    <s v="Good"/>
  </r>
  <r>
    <n v="92"/>
    <x v="83"/>
    <x v="88"/>
    <n v="3"/>
    <s v="elective"/>
    <x v="4"/>
    <x v="5"/>
    <n v="65"/>
    <n v="6.78"/>
    <n v="2.85"/>
    <x v="0"/>
    <n v="76"/>
    <n v="175"/>
    <n v="100"/>
    <n v="67"/>
    <s v="Good"/>
  </r>
  <r>
    <n v="93"/>
    <x v="84"/>
    <x v="89"/>
    <n v="5"/>
    <s v="elective"/>
    <x v="0"/>
    <x v="8"/>
    <n v="83"/>
    <n v="9.52"/>
    <n v="3.08"/>
    <x v="0"/>
    <n v="172"/>
    <n v="172"/>
    <n v="85"/>
    <n v="60"/>
    <s v="Good"/>
  </r>
  <r>
    <n v="94"/>
    <x v="85"/>
    <x v="90"/>
    <n v="3"/>
    <s v="elective"/>
    <x v="3"/>
    <x v="11"/>
    <n v="70"/>
    <n v="4.95"/>
    <n v="2.48"/>
    <x v="0"/>
    <n v="79"/>
    <n v="174"/>
    <n v="91"/>
    <n v="50"/>
    <s v="Moderate"/>
  </r>
  <r>
    <n v="95"/>
    <x v="86"/>
    <x v="91"/>
    <n v="2"/>
    <s v="urgent"/>
    <x v="2"/>
    <x v="5"/>
    <n v="70"/>
    <n v="19.100000000000001"/>
    <n v="17.420000000000002"/>
    <x v="0"/>
    <n v="125"/>
    <n v="180"/>
    <n v="105"/>
    <n v="58"/>
    <s v="Good"/>
  </r>
  <r>
    <n v="96"/>
    <x v="87"/>
    <x v="92"/>
    <n v="5"/>
    <s v="elective"/>
    <x v="0"/>
    <x v="12"/>
    <n v="74"/>
    <n v="8.08"/>
    <n v="4.37"/>
    <x v="0"/>
    <n v="88"/>
    <n v="174"/>
    <n v="92"/>
    <n v="44"/>
    <s v="Moderate"/>
  </r>
  <r>
    <n v="97"/>
    <x v="88"/>
    <x v="93"/>
    <n v="6"/>
    <s v="urgent"/>
    <x v="2"/>
    <x v="9"/>
    <n v="77"/>
    <n v="7.7"/>
    <n v="2.08"/>
    <x v="0"/>
    <n v="105"/>
    <n v="164"/>
    <n v="86"/>
    <n v="14"/>
    <s v="Very Poor"/>
  </r>
  <r>
    <n v="98"/>
    <x v="89"/>
    <x v="94"/>
    <n v="5"/>
    <s v="elective"/>
    <x v="0"/>
    <x v="12"/>
    <n v="79"/>
    <n v="41.86"/>
    <n v="14.21"/>
    <x v="0"/>
    <n v="127"/>
    <n v="175"/>
    <n v="105"/>
    <n v="45"/>
    <s v="Moderate"/>
  </r>
  <r>
    <n v="99"/>
    <x v="90"/>
    <x v="95"/>
    <n v="2"/>
    <s v="elective"/>
    <x v="2"/>
    <x v="5"/>
    <n v="52"/>
    <n v="0.88"/>
    <n v="0.56000000000000005"/>
    <x v="0"/>
    <n v="70"/>
    <n v="158"/>
    <n v="87"/>
    <n v="60"/>
    <s v="Good"/>
  </r>
  <r>
    <n v="100"/>
    <x v="91"/>
    <x v="96"/>
    <n v="6"/>
    <s v="elective"/>
    <x v="0"/>
    <x v="8"/>
    <n v="73"/>
    <n v="3.74"/>
    <n v="0.73"/>
    <x v="0"/>
    <n v="82"/>
    <n v="182"/>
    <n v="81"/>
    <n v="60"/>
    <s v="Good"/>
  </r>
  <r>
    <n v="101"/>
    <x v="92"/>
    <x v="97"/>
    <n v="2"/>
    <s v="elective"/>
    <x v="3"/>
    <x v="7"/>
    <n v="59"/>
    <n v="2.27"/>
    <n v="5.8"/>
    <x v="0"/>
    <n v="76"/>
    <n v="162"/>
    <n v="83"/>
    <n v="49"/>
    <s v="Moderate"/>
  </r>
  <r>
    <n v="102"/>
    <x v="93"/>
    <x v="98"/>
    <n v="5"/>
    <s v="elective"/>
    <x v="0"/>
    <x v="9"/>
    <n v="52"/>
    <n v="1.51"/>
    <n v="0.5"/>
    <x v="0"/>
    <n v="84"/>
    <n v="166"/>
    <n v="109"/>
    <n v="45"/>
    <s v="Moderate"/>
  </r>
  <r>
    <n v="103"/>
    <x v="94"/>
    <x v="99"/>
    <n v="3"/>
    <s v="elective"/>
    <x v="2"/>
    <x v="6"/>
    <n v="48"/>
    <n v="1.33"/>
    <n v="0.69"/>
    <x v="0"/>
    <n v="80"/>
    <n v="180"/>
    <n v="97"/>
    <n v="42"/>
    <s v="Moderate"/>
  </r>
  <r>
    <n v="104"/>
    <x v="95"/>
    <x v="100"/>
    <n v="5"/>
    <s v="elective"/>
    <x v="2"/>
    <x v="9"/>
    <n v="78"/>
    <n v="13.36"/>
    <n v="4.51"/>
    <x v="0"/>
    <n v="85"/>
    <n v="180"/>
    <n v="118"/>
    <n v="55"/>
    <s v="Good"/>
  </r>
  <r>
    <n v="105"/>
    <x v="96"/>
    <x v="101"/>
    <n v="6"/>
    <s v="elective"/>
    <x v="0"/>
    <x v="8"/>
    <n v="68"/>
    <n v="9.5500000000000007"/>
    <n v="10.31"/>
    <x v="0"/>
    <n v="95"/>
    <n v="175"/>
    <n v="80"/>
    <n v="65"/>
    <s v="Good"/>
  </r>
  <r>
    <n v="107"/>
    <x v="97"/>
    <x v="102"/>
    <n v="2"/>
    <s v="elective"/>
    <x v="4"/>
    <x v="1"/>
    <n v="68"/>
    <n v="8.16"/>
    <n v="5.5"/>
    <x v="0"/>
    <n v="121"/>
    <n v="166"/>
    <n v="67"/>
    <n v="64"/>
    <s v="Good"/>
  </r>
  <r>
    <n v="108"/>
    <x v="98"/>
    <x v="102"/>
    <n v="5"/>
    <s v="elective"/>
    <x v="2"/>
    <x v="13"/>
    <n v="75"/>
    <n v="4.0599999999999996"/>
    <n v="1.03"/>
    <x v="0"/>
    <n v="83"/>
    <n v="178"/>
    <n v="97"/>
    <n v="55"/>
    <s v="Good"/>
  </r>
  <r>
    <n v="109"/>
    <x v="97"/>
    <x v="103"/>
    <n v="2"/>
    <s v="elective"/>
    <x v="0"/>
    <x v="1"/>
    <n v="76"/>
    <n v="14.34"/>
    <n v="4.18"/>
    <x v="0"/>
    <n v="71"/>
    <n v="180"/>
    <n v="83"/>
    <n v="45"/>
    <s v="Moderate"/>
  </r>
  <r>
    <n v="110"/>
    <x v="99"/>
    <x v="104"/>
    <n v="2"/>
    <s v="elective"/>
    <x v="3"/>
    <x v="11"/>
    <n v="66"/>
    <n v="2.38"/>
    <n v="1.1399999999999999"/>
    <x v="0"/>
    <n v="91"/>
    <n v="150"/>
    <n v="63"/>
    <n v="55"/>
    <s v="Good"/>
  </r>
  <r>
    <n v="111"/>
    <x v="100"/>
    <x v="105"/>
    <n v="5"/>
    <s v="urgent"/>
    <x v="3"/>
    <x v="12"/>
    <n v="75"/>
    <n v="9.9499999999999993"/>
    <n v="5.24"/>
    <x v="0"/>
    <n v="83"/>
    <n v="163"/>
    <n v="85"/>
    <n v="50"/>
    <s v="Moderate"/>
  </r>
  <r>
    <n v="112"/>
    <x v="101"/>
    <x v="106"/>
    <n v="6"/>
    <s v="elective"/>
    <x v="2"/>
    <x v="1"/>
    <n v="75"/>
    <n v="7.16"/>
    <n v="1.71"/>
    <x v="0"/>
    <n v="93"/>
    <n v="150"/>
    <n v="74"/>
    <n v="60"/>
    <s v="Good"/>
  </r>
  <r>
    <n v="113"/>
    <x v="101"/>
    <x v="107"/>
    <n v="3"/>
    <s v="elective"/>
    <x v="3"/>
    <x v="6"/>
    <n v="80"/>
    <n v="5.83"/>
    <n v="2.0299999999999998"/>
    <x v="0"/>
    <n v="74"/>
    <n v="162"/>
    <n v="59"/>
    <n v="52"/>
    <s v="Good"/>
  </r>
  <r>
    <n v="114"/>
    <x v="102"/>
    <x v="108"/>
    <n v="6"/>
    <s v="urgent"/>
    <x v="0"/>
    <x v="1"/>
    <n v="81"/>
    <n v="8.44"/>
    <n v="5.86"/>
    <x v="0"/>
    <n v="80"/>
    <n v="176"/>
    <n v="84"/>
    <n v="55"/>
    <s v="Good"/>
  </r>
  <r>
    <n v="115"/>
    <x v="103"/>
    <x v="109"/>
    <n v="5"/>
    <s v="elective"/>
    <x v="0"/>
    <x v="12"/>
    <n v="57"/>
    <n v="2.27"/>
    <n v="0.76"/>
    <x v="0"/>
    <n v="79"/>
    <n v="170"/>
    <n v="82"/>
    <n v="55"/>
    <s v="Good"/>
  </r>
  <r>
    <n v="116"/>
    <x v="104"/>
    <x v="110"/>
    <n v="2"/>
    <s v="elective"/>
    <x v="0"/>
    <x v="11"/>
    <n v="76"/>
    <n v="9.1199999999999992"/>
    <n v="2.41"/>
    <x v="0"/>
    <n v="80"/>
    <n v="180"/>
    <n v="104"/>
    <n v="55"/>
    <s v="Good"/>
  </r>
  <r>
    <n v="117"/>
    <x v="105"/>
    <x v="111"/>
    <n v="3"/>
    <s v="elective"/>
    <x v="1"/>
    <x v="5"/>
    <n v="71"/>
    <n v="1.94"/>
    <n v="1.58"/>
    <x v="0"/>
    <n v="76"/>
    <n v="165"/>
    <n v="63"/>
    <n v="25"/>
    <s v="Poor"/>
  </r>
  <r>
    <n v="118"/>
    <x v="106"/>
    <x v="112"/>
    <n v="5"/>
    <s v="urgent"/>
    <x v="2"/>
    <x v="4"/>
    <n v="67"/>
    <n v="4.1100000000000003"/>
    <n v="3.17"/>
    <x v="0"/>
    <n v="88"/>
    <n v="174"/>
    <n v="70"/>
    <n v="55"/>
    <s v="Good"/>
  </r>
  <r>
    <n v="119"/>
    <x v="107"/>
    <x v="113"/>
    <n v="3"/>
    <s v="elective"/>
    <x v="2"/>
    <x v="3"/>
    <n v="59"/>
    <n v="1.33"/>
    <n v="0.76"/>
    <x v="0"/>
    <n v="73"/>
    <n v="173"/>
    <n v="86"/>
    <n v="55"/>
    <s v="Good"/>
  </r>
  <r>
    <n v="120"/>
    <x v="108"/>
    <x v="114"/>
    <n v="6"/>
    <s v="elective"/>
    <x v="0"/>
    <x v="5"/>
    <n v="68"/>
    <n v="7.05"/>
    <n v="1.9"/>
    <x v="0"/>
    <n v="70"/>
    <n v="164"/>
    <n v="81"/>
    <n v="55"/>
    <s v="Good"/>
  </r>
  <r>
    <n v="121"/>
    <x v="109"/>
    <x v="115"/>
    <n v="2"/>
    <s v="elective"/>
    <x v="3"/>
    <x v="2"/>
    <n v="84"/>
    <n v="7.48"/>
    <n v="2.54"/>
    <x v="0"/>
    <n v="156"/>
    <n v="182"/>
    <n v="98"/>
    <n v="45"/>
    <s v="Moderate"/>
  </r>
  <r>
    <n v="122"/>
    <x v="110"/>
    <x v="116"/>
    <n v="5"/>
    <s v="elective"/>
    <x v="0"/>
    <x v="8"/>
    <n v="61"/>
    <n v="1.72"/>
    <n v="0.89"/>
    <x v="0"/>
    <n v="97"/>
    <n v="185"/>
    <n v="111"/>
    <n v="55"/>
    <s v="Good"/>
  </r>
  <r>
    <n v="123"/>
    <x v="111"/>
    <x v="117"/>
    <n v="6"/>
    <s v="elective"/>
    <x v="0"/>
    <x v="11"/>
    <n v="62"/>
    <n v="2.5299999999999998"/>
    <n v="1.2"/>
    <x v="0"/>
    <n v="72"/>
    <n v="175"/>
    <n v="64"/>
    <n v="55"/>
    <s v="Good"/>
  </r>
  <r>
    <n v="124"/>
    <x v="112"/>
    <x v="118"/>
    <n v="2"/>
    <s v="elective"/>
    <x v="0"/>
    <x v="2"/>
    <n v="76"/>
    <n v="6.19"/>
    <n v="2.54"/>
    <x v="0"/>
    <n v="81"/>
    <n v="175"/>
    <n v="95"/>
    <n v="40"/>
    <s v="Moderate"/>
  </r>
  <r>
    <n v="125"/>
    <x v="113"/>
    <x v="119"/>
    <n v="3"/>
    <s v="elective"/>
    <x v="0"/>
    <x v="1"/>
    <n v="27"/>
    <n v="6.39"/>
    <n v="1.83"/>
    <x v="0"/>
    <n v="82"/>
    <n v="155"/>
    <n v="60"/>
    <n v="55"/>
    <s v="Good"/>
  </r>
  <r>
    <n v="126"/>
    <x v="114"/>
    <x v="120"/>
    <n v="1"/>
    <s v="urgent"/>
    <x v="3"/>
    <x v="6"/>
    <n v="78"/>
    <n v="7.62"/>
    <n v="3.96"/>
    <x v="0"/>
    <n v="73"/>
    <n v="173"/>
    <n v="74"/>
    <n v="45"/>
    <s v="Moderate"/>
  </r>
  <r>
    <n v="127"/>
    <x v="115"/>
    <x v="121"/>
    <n v="2"/>
    <s v="elective"/>
    <x v="3"/>
    <x v="14"/>
    <n v="68"/>
    <n v="2.71"/>
    <n v="4.08"/>
    <x v="1"/>
    <n v="68"/>
    <n v="172"/>
    <n v="86"/>
    <n v="45"/>
    <s v="Moderate"/>
  </r>
  <r>
    <n v="128"/>
    <x v="116"/>
    <x v="122"/>
    <n v="6"/>
    <s v="elective"/>
    <x v="0"/>
    <x v="9"/>
    <n v="59"/>
    <n v="1.51"/>
    <n v="0.75"/>
    <x v="0"/>
    <n v="88"/>
    <n v="176"/>
    <n v="86"/>
    <n v="55"/>
    <s v="Good"/>
  </r>
  <r>
    <n v="129"/>
    <x v="117"/>
    <x v="123"/>
    <n v="5"/>
    <s v="urgent"/>
    <x v="0"/>
    <x v="12"/>
    <n v="76"/>
    <n v="16.57"/>
    <n v="3.31"/>
    <x v="0"/>
    <n v="95"/>
    <n v="175"/>
    <n v="102"/>
    <n v="45"/>
    <s v="Moderate"/>
  </r>
  <r>
    <n v="130"/>
    <x v="118"/>
    <x v="124"/>
    <n v="2"/>
    <s v="urgent"/>
    <x v="2"/>
    <x v="7"/>
    <n v="68"/>
    <n v="1.59"/>
    <n v="1.19"/>
    <x v="0"/>
    <n v="72"/>
    <n v="178"/>
    <n v="76"/>
    <n v="55"/>
    <s v="Good"/>
  </r>
  <r>
    <n v="131"/>
    <x v="119"/>
    <x v="125"/>
    <n v="3"/>
    <s v="elective"/>
    <x v="0"/>
    <x v="8"/>
    <n v="84"/>
    <n v="10.95"/>
    <n v="4.17"/>
    <x v="0"/>
    <n v="79"/>
    <n v="155"/>
    <n v="64"/>
    <n v="50"/>
    <s v="Moderate"/>
  </r>
  <r>
    <n v="132"/>
    <x v="120"/>
    <x v="126"/>
    <n v="5"/>
    <s v="urgent"/>
    <x v="3"/>
    <x v="9"/>
    <n v="79"/>
    <n v="16.97"/>
    <n v="6.13"/>
    <x v="0"/>
    <n v="86"/>
    <n v="157"/>
    <n v="50"/>
    <n v="57"/>
    <s v="Good"/>
  </r>
  <r>
    <n v="133"/>
    <x v="121"/>
    <x v="127"/>
    <n v="6"/>
    <s v="urgent"/>
    <x v="1"/>
    <x v="4"/>
    <n v="74"/>
    <n v="32.729999999999997"/>
    <n v="20.98"/>
    <x v="1"/>
    <n v="80"/>
    <n v="180"/>
    <n v="103"/>
    <n v="67"/>
    <s v="Good"/>
  </r>
  <r>
    <n v="134"/>
    <x v="122"/>
    <x v="128"/>
    <n v="6"/>
    <s v="elective"/>
    <x v="3"/>
    <x v="11"/>
    <n v="69"/>
    <n v="3.98"/>
    <n v="2.4900000000000002"/>
    <x v="0"/>
    <n v="65"/>
    <n v="178"/>
    <n v="88"/>
    <n v="44"/>
    <s v="Moderate"/>
  </r>
  <r>
    <n v="135"/>
    <x v="123"/>
    <x v="129"/>
    <n v="2"/>
    <s v="elective"/>
    <x v="3"/>
    <x v="9"/>
    <n v="53"/>
    <n v="4.37"/>
    <n v="3.23"/>
    <x v="0"/>
    <n v="67"/>
    <n v="188"/>
    <n v="90"/>
    <n v="59"/>
    <s v="Good"/>
  </r>
  <r>
    <n v="136"/>
    <x v="124"/>
    <x v="130"/>
    <n v="5"/>
    <s v="elective"/>
    <x v="0"/>
    <x v="8"/>
    <n v="79"/>
    <n v="5.48"/>
    <n v="5.1100000000000003"/>
    <x v="0"/>
    <n v="145"/>
    <n v="179"/>
    <n v="84"/>
    <n v="65"/>
    <s v="Good"/>
  </r>
  <r>
    <n v="137"/>
    <x v="125"/>
    <x v="131"/>
    <n v="1"/>
    <s v="emergency"/>
    <x v="1"/>
    <x v="0"/>
    <n v="56"/>
    <n v="16.84"/>
    <n v="14.56"/>
    <x v="0"/>
    <n v="92"/>
    <n v="177"/>
    <n v="72"/>
    <n v="55"/>
    <s v="Good"/>
  </r>
  <r>
    <n v="138"/>
    <x v="126"/>
    <x v="132"/>
    <n v="2"/>
    <s v="elective"/>
    <x v="0"/>
    <x v="9"/>
    <n v="65"/>
    <n v="2.23"/>
    <n v="0.64"/>
    <x v="0"/>
    <n v="85"/>
    <n v="164"/>
    <n v="86"/>
    <n v="55"/>
    <s v="Good"/>
  </r>
  <r>
    <n v="139"/>
    <x v="127"/>
    <x v="133"/>
    <n v="5"/>
    <s v="emergency"/>
    <x v="0"/>
    <x v="8"/>
    <n v="42"/>
    <n v="3.02"/>
    <n v="1.01"/>
    <x v="0"/>
    <n v="170"/>
    <n v="170"/>
    <n v="60"/>
    <n v="55"/>
    <s v="Good"/>
  </r>
  <r>
    <n v="140"/>
    <x v="128"/>
    <x v="134"/>
    <n v="6"/>
    <s v="elective"/>
    <x v="0"/>
    <x v="9"/>
    <n v="64"/>
    <n v="2.09"/>
    <n v="0.75"/>
    <x v="0"/>
    <n v="81"/>
    <n v="160"/>
    <n v="65"/>
    <n v="45"/>
    <s v="Moderate"/>
  </r>
  <r>
    <n v="141"/>
    <x v="129"/>
    <x v="135"/>
    <n v="1"/>
    <s v="elective"/>
    <x v="2"/>
    <x v="0"/>
    <n v="78"/>
    <n v="3.06"/>
    <n v="0.93"/>
    <x v="0"/>
    <n v="83"/>
    <n v="184"/>
    <n v="85"/>
    <n v="60"/>
    <s v="Good"/>
  </r>
  <r>
    <n v="142"/>
    <x v="130"/>
    <x v="136"/>
    <n v="5"/>
    <s v="urgent"/>
    <x v="0"/>
    <x v="7"/>
    <n v="65"/>
    <n v="4.5999999999999996"/>
    <n v="4.1100000000000003"/>
    <x v="0"/>
    <n v="74"/>
    <n v="176"/>
    <n v="127"/>
    <n v="55"/>
    <s v="Good"/>
  </r>
  <r>
    <n v="143"/>
    <x v="128"/>
    <x v="137"/>
    <n v="2"/>
    <s v="elective"/>
    <x v="3"/>
    <x v="11"/>
    <n v="81"/>
    <n v="9.7799999999999994"/>
    <n v="2.5099999999999998"/>
    <x v="0"/>
    <n v="67"/>
    <n v="172"/>
    <n v="78"/>
    <n v="37"/>
    <s v="Moderate"/>
  </r>
  <r>
    <n v="144"/>
    <x v="128"/>
    <x v="138"/>
    <n v="3"/>
    <s v="elective"/>
    <x v="2"/>
    <x v="3"/>
    <n v="48"/>
    <n v="0.88"/>
    <n v="0.5"/>
    <x v="0"/>
    <n v="109"/>
    <n v="152"/>
    <n v="60"/>
    <n v="55"/>
    <s v="Good"/>
  </r>
  <r>
    <n v="145"/>
    <x v="131"/>
    <x v="139"/>
    <n v="1"/>
    <s v="elective"/>
    <x v="0"/>
    <x v="8"/>
    <n v="74"/>
    <n v="12.78"/>
    <n v="5.42"/>
    <x v="0"/>
    <n v="101"/>
    <n v="171"/>
    <n v="93"/>
    <n v="55"/>
    <s v="Good"/>
  </r>
  <r>
    <n v="146"/>
    <x v="132"/>
    <x v="140"/>
    <n v="3"/>
    <s v="elective"/>
    <x v="3"/>
    <x v="9"/>
    <n v="55"/>
    <n v="2.44"/>
    <n v="2.4300000000000002"/>
    <x v="0"/>
    <n v="67"/>
    <n v="162"/>
    <n v="78"/>
    <n v="62"/>
    <s v="Good"/>
  </r>
  <r>
    <n v="147"/>
    <x v="133"/>
    <x v="141"/>
    <n v="2"/>
    <s v="elective"/>
    <x v="2"/>
    <x v="0"/>
    <n v="53"/>
    <n v="1.33"/>
    <n v="0.69"/>
    <x v="0"/>
    <n v="92"/>
    <n v="157"/>
    <n v="78"/>
    <n v="38"/>
    <s v="Moderate"/>
  </r>
  <r>
    <n v="148"/>
    <x v="134"/>
    <x v="142"/>
    <n v="6"/>
    <s v="elective"/>
    <x v="0"/>
    <x v="11"/>
    <n v="73"/>
    <n v="3.74"/>
    <n v="0.81"/>
    <x v="0"/>
    <n v="83"/>
    <n v="187"/>
    <n v="70"/>
    <n v="30"/>
    <s v="Poor"/>
  </r>
  <r>
    <n v="149"/>
    <x v="135"/>
    <x v="143"/>
    <n v="2"/>
    <s v="elective"/>
    <x v="2"/>
    <x v="0"/>
    <n v="78"/>
    <n v="3.06"/>
    <n v="1.1299999999999999"/>
    <x v="0"/>
    <n v="75"/>
    <n v="176"/>
    <n v="90"/>
    <n v="51"/>
    <s v="Good"/>
  </r>
  <r>
    <n v="150"/>
    <x v="136"/>
    <x v="144"/>
    <n v="6"/>
    <s v="urgent"/>
    <x v="3"/>
    <x v="7"/>
    <n v="81"/>
    <n v="6.21"/>
    <n v="3.81"/>
    <x v="0"/>
    <n v="114"/>
    <n v="178"/>
    <n v="95"/>
    <n v="65"/>
    <s v="Good"/>
  </r>
  <r>
    <n v="151"/>
    <x v="137"/>
    <x v="145"/>
    <n v="5"/>
    <s v="elective"/>
    <x v="0"/>
    <x v="8"/>
    <n v="64"/>
    <n v="7.48"/>
    <n v="2.11"/>
    <x v="0"/>
    <n v="81"/>
    <n v="174"/>
    <n v="82"/>
    <n v="59"/>
    <s v="Good"/>
  </r>
  <r>
    <n v="152"/>
    <x v="138"/>
    <x v="146"/>
    <n v="3"/>
    <s v="urgent"/>
    <x v="2"/>
    <x v="11"/>
    <n v="63"/>
    <n v="6.38"/>
    <n v="1.65"/>
    <x v="0"/>
    <n v="130"/>
    <n v="168"/>
    <n v="91"/>
    <n v="65"/>
    <s v="Good"/>
  </r>
  <r>
    <n v="153"/>
    <x v="139"/>
    <x v="147"/>
    <n v="2"/>
    <s v="elective"/>
    <x v="0"/>
    <x v="2"/>
    <n v="68"/>
    <n v="7.71"/>
    <n v="3.41"/>
    <x v="0"/>
    <n v="88"/>
    <n v="178"/>
    <n v="81"/>
    <n v="55"/>
    <s v="Good"/>
  </r>
  <r>
    <n v="154"/>
    <x v="140"/>
    <x v="148"/>
    <n v="2"/>
    <s v="elective"/>
    <x v="3"/>
    <x v="2"/>
    <n v="71"/>
    <n v="3.29"/>
    <n v="1.18"/>
    <x v="0"/>
    <n v="67"/>
    <n v="158"/>
    <n v="78"/>
    <n v="60"/>
    <s v="Good"/>
  </r>
  <r>
    <n v="155"/>
    <x v="141"/>
    <x v="149"/>
    <n v="3"/>
    <s v="urgent"/>
    <x v="2"/>
    <x v="1"/>
    <n v="76"/>
    <n v="3.7"/>
    <n v="1.34"/>
    <x v="0"/>
    <n v="98"/>
    <n v="173"/>
    <n v="68"/>
    <n v="50"/>
    <s v="Moderate"/>
  </r>
  <r>
    <n v="156"/>
    <x v="142"/>
    <x v="150"/>
    <n v="3"/>
    <s v="elective"/>
    <x v="0"/>
    <x v="10"/>
    <n v="80"/>
    <n v="7.94"/>
    <n v="1.88"/>
    <x v="0"/>
    <n v="83"/>
    <n v="166"/>
    <n v="62"/>
    <n v="55"/>
    <s v="Good"/>
  </r>
  <r>
    <n v="157"/>
    <x v="143"/>
    <x v="151"/>
    <n v="5"/>
    <s v="elective"/>
    <x v="2"/>
    <x v="11"/>
    <n v="70"/>
    <n v="2.74"/>
    <n v="1.01"/>
    <x v="0"/>
    <n v="86"/>
    <n v="170"/>
    <n v="70"/>
    <n v="45"/>
    <s v="Moderate"/>
  </r>
  <r>
    <n v="158"/>
    <x v="144"/>
    <x v="152"/>
    <n v="6"/>
    <s v="urgent"/>
    <x v="0"/>
    <x v="14"/>
    <n v="50"/>
    <n v="60.35"/>
    <n v="48.1"/>
    <x v="1"/>
    <n v="77"/>
    <n v="180"/>
    <n v="73"/>
    <n v="60"/>
    <s v="Good"/>
  </r>
  <r>
    <n v="159"/>
    <x v="145"/>
    <x v="153"/>
    <n v="2"/>
    <s v="elective"/>
    <x v="2"/>
    <x v="1"/>
    <n v="85"/>
    <n v="14.14"/>
    <n v="3.69"/>
    <x v="0"/>
    <n v="80"/>
    <n v="173"/>
    <n v="92"/>
    <n v="55"/>
    <s v="Good"/>
  </r>
  <r>
    <n v="160"/>
    <x v="146"/>
    <x v="154"/>
    <n v="2"/>
    <s v="elective"/>
    <x v="0"/>
    <x v="11"/>
    <n v="74"/>
    <n v="16.940000000000001"/>
    <n v="6.72"/>
    <x v="0"/>
    <n v="81"/>
    <n v="178"/>
    <n v="75"/>
    <n v="50"/>
    <s v="Moderate"/>
  </r>
  <r>
    <n v="161"/>
    <x v="147"/>
    <x v="155"/>
    <n v="5"/>
    <s v="urgent"/>
    <x v="2"/>
    <x v="10"/>
    <n v="62"/>
    <n v="1.84"/>
    <n v="0.94"/>
    <x v="0"/>
    <n v="100"/>
    <n v="172"/>
    <n v="94"/>
    <n v="55"/>
    <s v="Good"/>
  </r>
  <r>
    <n v="162"/>
    <x v="148"/>
    <x v="156"/>
    <n v="3"/>
    <s v="urgent"/>
    <x v="2"/>
    <x v="6"/>
    <n v="61"/>
    <n v="29.02"/>
    <n v="23.71"/>
    <x v="0"/>
    <n v="80"/>
    <n v="171"/>
    <n v="122"/>
    <n v="73"/>
    <s v="Good"/>
  </r>
  <r>
    <n v="163"/>
    <x v="149"/>
    <x v="157"/>
    <n v="6"/>
    <s v="urgent"/>
    <x v="2"/>
    <x v="11"/>
    <n v="72"/>
    <n v="3.35"/>
    <n v="2.17"/>
    <x v="0"/>
    <n v="70"/>
    <n v="179"/>
    <n v="74"/>
    <n v="66"/>
    <s v="Good"/>
  </r>
  <r>
    <n v="164"/>
    <x v="150"/>
    <x v="158"/>
    <n v="5"/>
    <s v="elective"/>
    <x v="3"/>
    <x v="4"/>
    <n v="77"/>
    <n v="4.83"/>
    <n v="1.55"/>
    <x v="0"/>
    <n v="91"/>
    <n v="178"/>
    <n v="95"/>
    <n v="49"/>
    <s v="Moderate"/>
  </r>
  <r>
    <n v="166"/>
    <x v="151"/>
    <x v="159"/>
    <n v="5"/>
    <s v="elective"/>
    <x v="0"/>
    <x v="4"/>
    <n v="76"/>
    <n v="6.19"/>
    <n v="1.0900000000000001"/>
    <x v="0"/>
    <n v="73"/>
    <n v="169"/>
    <n v="77"/>
    <n v="25"/>
    <s v="Poor"/>
  </r>
  <r>
    <n v="167"/>
    <x v="152"/>
    <x v="160"/>
    <n v="5"/>
    <s v="elective"/>
    <x v="0"/>
    <x v="6"/>
    <n v="59"/>
    <n v="2.08"/>
    <n v="0.84"/>
    <x v="0"/>
    <n v="96"/>
    <n v="160"/>
    <n v="82"/>
    <n v="61"/>
    <s v="Good"/>
  </r>
  <r>
    <n v="168"/>
    <x v="153"/>
    <x v="160"/>
    <n v="2"/>
    <s v="elective"/>
    <x v="0"/>
    <x v="1"/>
    <n v="61"/>
    <n v="1.72"/>
    <n v="0.52"/>
    <x v="0"/>
    <n v="74"/>
    <n v="163"/>
    <n v="69"/>
    <n v="60"/>
    <s v="Good"/>
  </r>
  <r>
    <n v="169"/>
    <x v="154"/>
    <x v="161"/>
    <n v="2"/>
    <s v="elective"/>
    <x v="3"/>
    <x v="0"/>
    <n v="82"/>
    <n v="8.9700000000000006"/>
    <n v="6.06"/>
    <x v="0"/>
    <n v="153"/>
    <n v="167"/>
    <n v="87"/>
    <n v="59"/>
    <s v="Good"/>
  </r>
  <r>
    <n v="170"/>
    <x v="155"/>
    <x v="162"/>
    <n v="2"/>
    <s v="elective"/>
    <x v="3"/>
    <x v="11"/>
    <n v="77"/>
    <n v="4.83"/>
    <n v="3.14"/>
    <x v="0"/>
    <n v="62"/>
    <n v="156"/>
    <n v="66"/>
    <n v="55"/>
    <s v="Good"/>
  </r>
  <r>
    <n v="171"/>
    <x v="155"/>
    <x v="163"/>
    <n v="5"/>
    <s v="elective"/>
    <x v="2"/>
    <x v="15"/>
    <n v="78"/>
    <n v="5.16"/>
    <n v="1.46"/>
    <x v="0"/>
    <n v="78"/>
    <n v="158"/>
    <n v="66"/>
    <n v="55"/>
    <s v="Good"/>
  </r>
  <r>
    <n v="172"/>
    <x v="156"/>
    <x v="164"/>
    <n v="3"/>
    <s v="urgent"/>
    <x v="2"/>
    <x v="6"/>
    <n v="63"/>
    <n v="1.96"/>
    <n v="0.97"/>
    <x v="0"/>
    <n v="89"/>
    <n v="175"/>
    <n v="84"/>
    <n v="50"/>
    <s v="Moderate"/>
  </r>
  <r>
    <n v="173"/>
    <x v="157"/>
    <x v="165"/>
    <n v="6"/>
    <s v="elective"/>
    <x v="0"/>
    <x v="1"/>
    <n v="86"/>
    <n v="8.4600000000000009"/>
    <n v="1.89"/>
    <x v="0"/>
    <n v="96"/>
    <n v="175"/>
    <n v="86"/>
    <n v="55"/>
    <s v="Good"/>
  </r>
  <r>
    <n v="174"/>
    <x v="158"/>
    <x v="166"/>
    <n v="3"/>
    <s v="elective"/>
    <x v="2"/>
    <x v="6"/>
    <n v="74"/>
    <n v="4.45"/>
    <n v="1.41"/>
    <x v="0"/>
    <n v="102"/>
    <n v="176"/>
    <n v="85"/>
    <n v="60"/>
    <s v="Good"/>
  </r>
  <r>
    <n v="175"/>
    <x v="159"/>
    <x v="167"/>
    <n v="5"/>
    <s v="elective"/>
    <x v="2"/>
    <x v="15"/>
    <n v="70"/>
    <n v="4.04"/>
    <n v="1.34"/>
    <x v="0"/>
    <n v="136"/>
    <n v="177"/>
    <n v="78"/>
    <n v="46"/>
    <s v="Moderate"/>
  </r>
  <r>
    <n v="176"/>
    <x v="121"/>
    <x v="168"/>
    <n v="2"/>
    <s v="urgent"/>
    <x v="2"/>
    <x v="11"/>
    <n v="73"/>
    <n v="5.6"/>
    <n v="1.75"/>
    <x v="0"/>
    <n v="99"/>
    <n v="162"/>
    <n v="82"/>
    <n v="44"/>
    <s v="Moderate"/>
  </r>
  <r>
    <n v="177"/>
    <x v="160"/>
    <x v="169"/>
    <n v="3"/>
    <s v="elective"/>
    <x v="3"/>
    <x v="3"/>
    <n v="73"/>
    <n v="10.43"/>
    <n v="3.39"/>
    <x v="0"/>
    <n v="71"/>
    <n v="164"/>
    <n v="72"/>
    <n v="45"/>
    <s v="Moderate"/>
  </r>
  <r>
    <n v="178"/>
    <x v="161"/>
    <x v="170"/>
    <n v="2"/>
    <s v="urgent"/>
    <x v="0"/>
    <x v="2"/>
    <n v="73"/>
    <n v="3.74"/>
    <n v="3.82"/>
    <x v="0"/>
    <n v="102"/>
    <n v="170"/>
    <n v="72"/>
    <n v="69"/>
    <s v="Good"/>
  </r>
  <r>
    <n v="179"/>
    <x v="162"/>
    <x v="171"/>
    <n v="5"/>
    <s v="elective"/>
    <x v="2"/>
    <x v="4"/>
    <n v="72"/>
    <n v="2.86"/>
    <n v="0.97"/>
    <x v="0"/>
    <n v="159"/>
    <n v="163"/>
    <n v="60"/>
    <n v="55"/>
    <s v="Good"/>
  </r>
  <r>
    <n v="180"/>
    <x v="163"/>
    <x v="172"/>
    <n v="6"/>
    <s v="elective"/>
    <x v="0"/>
    <x v="6"/>
    <n v="81"/>
    <n v="12.29"/>
    <n v="8.15"/>
    <x v="0"/>
    <n v="85"/>
    <n v="156"/>
    <n v="69"/>
    <n v="55"/>
    <s v="Good"/>
  </r>
  <r>
    <n v="181"/>
    <x v="164"/>
    <x v="173"/>
    <n v="3"/>
    <s v="elective"/>
    <x v="0"/>
    <x v="3"/>
    <n v="73"/>
    <n v="11.29"/>
    <n v="2.94"/>
    <x v="0"/>
    <n v="130"/>
    <n v="169"/>
    <n v="90"/>
    <n v="50"/>
    <s v="Moderate"/>
  </r>
  <r>
    <n v="182"/>
    <x v="165"/>
    <x v="174"/>
    <n v="5"/>
    <s v="elective"/>
    <x v="0"/>
    <x v="4"/>
    <n v="61"/>
    <n v="3.56"/>
    <n v="0.98"/>
    <x v="0"/>
    <n v="88"/>
    <n v="188"/>
    <n v="101"/>
    <n v="60"/>
    <s v="Good"/>
  </r>
  <r>
    <n v="183"/>
    <x v="166"/>
    <x v="175"/>
    <n v="6"/>
    <s v="elective"/>
    <x v="0"/>
    <x v="15"/>
    <n v="83"/>
    <n v="9.52"/>
    <n v="4.76"/>
    <x v="0"/>
    <n v="79"/>
    <n v="151"/>
    <n v="47"/>
    <n v="55"/>
    <s v="Good"/>
  </r>
  <r>
    <n v="184"/>
    <x v="167"/>
    <x v="176"/>
    <n v="6"/>
    <s v="elective"/>
    <x v="4"/>
    <x v="9"/>
    <n v="65"/>
    <n v="9.9600000000000009"/>
    <n v="5.13"/>
    <x v="0"/>
    <n v="86"/>
    <n v="163"/>
    <n v="64"/>
    <n v="55"/>
    <s v="Good"/>
  </r>
  <r>
    <n v="185"/>
    <x v="168"/>
    <x v="177"/>
    <n v="3"/>
    <s v="elective"/>
    <x v="2"/>
    <x v="0"/>
    <n v="59"/>
    <n v="0.88"/>
    <n v="0.56000000000000005"/>
    <x v="0"/>
    <n v="83"/>
    <n v="170"/>
    <n v="80"/>
    <n v="76"/>
    <s v="Good"/>
  </r>
  <r>
    <n v="186"/>
    <x v="169"/>
    <x v="178"/>
    <n v="5"/>
    <s v="urgent"/>
    <x v="0"/>
    <x v="8"/>
    <n v="73"/>
    <n v="12.84"/>
    <n v="4.93"/>
    <x v="0"/>
    <n v="78"/>
    <n v="181"/>
    <n v="117"/>
    <n v="60"/>
    <s v="Good"/>
  </r>
  <r>
    <n v="187"/>
    <x v="170"/>
    <x v="179"/>
    <n v="2"/>
    <s v="elective"/>
    <x v="0"/>
    <x v="2"/>
    <n v="70"/>
    <n v="8.73"/>
    <n v="1.37"/>
    <x v="0"/>
    <n v="85"/>
    <n v="165"/>
    <n v="111"/>
    <n v="55"/>
    <s v="Good"/>
  </r>
  <r>
    <n v="188"/>
    <x v="171"/>
    <x v="180"/>
    <n v="6"/>
    <s v="elective"/>
    <x v="0"/>
    <x v="10"/>
    <n v="70"/>
    <n v="4.24"/>
    <n v="0.92"/>
    <x v="0"/>
    <n v="139"/>
    <n v="168"/>
    <n v="87"/>
    <n v="44"/>
    <s v="Moderate"/>
  </r>
  <r>
    <n v="189"/>
    <x v="172"/>
    <x v="181"/>
    <n v="3"/>
    <s v="elective"/>
    <x v="0"/>
    <x v="0"/>
    <n v="58"/>
    <n v="1.51"/>
    <n v="0.5"/>
    <x v="0"/>
    <n v="73"/>
    <n v="180"/>
    <n v="101"/>
    <n v="45"/>
    <s v="Moderate"/>
  </r>
  <r>
    <n v="190"/>
    <x v="173"/>
    <x v="182"/>
    <n v="2"/>
    <s v="emergency"/>
    <x v="4"/>
    <x v="13"/>
    <n v="74"/>
    <n v="42.01"/>
    <n v="5.85"/>
    <x v="0"/>
    <n v="73"/>
    <n v="178"/>
    <n v="77"/>
    <n v="45"/>
    <s v="Moderate"/>
  </r>
  <r>
    <n v="191"/>
    <x v="174"/>
    <x v="183"/>
    <n v="3"/>
    <s v="elective"/>
    <x v="0"/>
    <x v="1"/>
    <n v="75"/>
    <n v="4.25"/>
    <n v="1.32"/>
    <x v="0"/>
    <n v="98"/>
    <n v="175"/>
    <n v="106"/>
    <n v="60"/>
    <s v="Good"/>
  </r>
  <r>
    <n v="192"/>
    <x v="175"/>
    <x v="184"/>
    <n v="1"/>
    <s v="elective"/>
    <x v="0"/>
    <x v="6"/>
    <n v="79"/>
    <n v="7.46"/>
    <n v="2.73"/>
    <x v="0"/>
    <n v="83"/>
    <n v="161"/>
    <n v="79"/>
    <n v="60"/>
    <s v="Good"/>
  </r>
  <r>
    <n v="193"/>
    <x v="176"/>
    <x v="185"/>
    <n v="5"/>
    <s v="elective"/>
    <x v="2"/>
    <x v="12"/>
    <n v="72"/>
    <n v="20.77"/>
    <n v="14.79"/>
    <x v="0"/>
    <n v="69"/>
    <n v="170"/>
    <n v="90"/>
    <n v="60"/>
    <s v="Good"/>
  </r>
  <r>
    <n v="194"/>
    <x v="177"/>
    <x v="186"/>
    <n v="6"/>
    <s v="emergency"/>
    <x v="4"/>
    <x v="9"/>
    <n v="83"/>
    <n v="75.38"/>
    <n v="32.840000000000003"/>
    <x v="1"/>
    <n v="90"/>
    <n v="175"/>
    <n v="99"/>
    <n v="44"/>
    <s v="Moderate"/>
  </r>
  <r>
    <n v="195"/>
    <x v="178"/>
    <x v="187"/>
    <n v="3"/>
    <s v="elective"/>
    <x v="0"/>
    <x v="8"/>
    <n v="77"/>
    <n v="4.83"/>
    <n v="3.77"/>
    <x v="0"/>
    <n v="180"/>
    <n v="168"/>
    <n v="81"/>
    <n v="60"/>
    <s v="Good"/>
  </r>
  <r>
    <n v="196"/>
    <x v="179"/>
    <x v="188"/>
    <n v="5"/>
    <s v="urgent"/>
    <x v="3"/>
    <x v="9"/>
    <n v="82"/>
    <n v="15.67"/>
    <n v="6.87"/>
    <x v="0"/>
    <n v="71"/>
    <n v="172"/>
    <n v="85"/>
    <n v="50"/>
    <s v="Moderate"/>
  </r>
  <r>
    <n v="197"/>
    <x v="180"/>
    <x v="189"/>
    <n v="1"/>
    <s v="elective"/>
    <x v="3"/>
    <x v="11"/>
    <n v="74"/>
    <n v="3.99"/>
    <n v="2.31"/>
    <x v="0"/>
    <n v="85"/>
    <n v="171"/>
    <n v="113"/>
    <n v="23"/>
    <s v="Poor"/>
  </r>
  <r>
    <n v="198"/>
    <x v="181"/>
    <x v="190"/>
    <n v="3"/>
    <s v="elective"/>
    <x v="0"/>
    <x v="8"/>
    <n v="83"/>
    <n v="27.88"/>
    <n v="12.95"/>
    <x v="0"/>
    <n v="90"/>
    <n v="174"/>
    <n v="110"/>
    <n v="20"/>
    <s v="Very Poor"/>
  </r>
  <r>
    <n v="199"/>
    <x v="182"/>
    <x v="191"/>
    <n v="5"/>
    <s v="elective"/>
    <x v="4"/>
    <x v="9"/>
    <n v="68"/>
    <n v="11"/>
    <n v="5.67"/>
    <x v="0"/>
    <n v="105"/>
    <n v="171"/>
    <n v="71"/>
    <n v="50"/>
    <s v="Moderate"/>
  </r>
  <r>
    <n v="200"/>
    <x v="183"/>
    <x v="192"/>
    <n v="1"/>
    <s v="urgent"/>
    <x v="2"/>
    <x v="11"/>
    <n v="71"/>
    <n v="3.3"/>
    <n v="1.64"/>
    <x v="0"/>
    <n v="113"/>
    <n v="166"/>
    <n v="102"/>
    <n v="25"/>
    <s v="Poor"/>
  </r>
  <r>
    <n v="201"/>
    <x v="184"/>
    <x v="193"/>
    <n v="5"/>
    <s v="elective"/>
    <x v="2"/>
    <x v="0"/>
    <n v="63"/>
    <n v="1.1499999999999999"/>
    <n v="0.61"/>
    <x v="0"/>
    <n v="135"/>
    <n v="164"/>
    <n v="66"/>
    <n v="55"/>
    <s v="Good"/>
  </r>
  <r>
    <n v="202"/>
    <x v="185"/>
    <x v="194"/>
    <n v="2"/>
    <s v="elective"/>
    <x v="0"/>
    <x v="10"/>
    <n v="69"/>
    <n v="6.35"/>
    <n v="4.37"/>
    <x v="0"/>
    <n v="84"/>
    <n v="179"/>
    <n v="83"/>
    <n v="50"/>
    <s v="Moderate"/>
  </r>
  <r>
    <n v="203"/>
    <x v="186"/>
    <x v="195"/>
    <n v="5"/>
    <s v="emergency"/>
    <x v="1"/>
    <x v="11"/>
    <n v="54"/>
    <n v="4.16"/>
    <n v="4.29"/>
    <x v="0"/>
    <n v="82"/>
    <n v="172"/>
    <n v="73"/>
    <n v="40"/>
    <s v="Moderate"/>
  </r>
  <r>
    <n v="204"/>
    <x v="187"/>
    <x v="196"/>
    <n v="1"/>
    <s v="elective"/>
    <x v="2"/>
    <x v="0"/>
    <n v="72"/>
    <n v="3.91"/>
    <n v="1.2"/>
    <x v="0"/>
    <n v="66"/>
    <n v="172"/>
    <n v="79"/>
    <n v="45"/>
    <s v="Moderate"/>
  </r>
  <r>
    <n v="205"/>
    <x v="187"/>
    <x v="197"/>
    <n v="3"/>
    <s v="elective"/>
    <x v="2"/>
    <x v="3"/>
    <n v="65"/>
    <n v="2.93"/>
    <n v="1.47"/>
    <x v="0"/>
    <n v="79"/>
    <n v="165"/>
    <n v="91"/>
    <n v="20"/>
    <s v="Very Poor"/>
  </r>
  <r>
    <n v="206"/>
    <x v="187"/>
    <x v="198"/>
    <n v="2"/>
    <s v="elective"/>
    <x v="2"/>
    <x v="11"/>
    <n v="53"/>
    <n v="0.88"/>
    <n v="0.56000000000000005"/>
    <x v="0"/>
    <n v="86"/>
    <n v="178"/>
    <n v="87"/>
    <n v="60"/>
    <s v="Good"/>
  </r>
  <r>
    <n v="207"/>
    <x v="188"/>
    <x v="199"/>
    <n v="5"/>
    <s v="urgent"/>
    <x v="3"/>
    <x v="12"/>
    <n v="78"/>
    <n v="33.9"/>
    <n v="18.149999999999999"/>
    <x v="0"/>
    <n v="102"/>
    <n v="184"/>
    <n v="86"/>
    <n v="47"/>
    <s v="Moderate"/>
  </r>
  <r>
    <n v="208"/>
    <x v="189"/>
    <x v="200"/>
    <n v="6"/>
    <s v="elective"/>
    <x v="3"/>
    <x v="1"/>
    <n v="79"/>
    <n v="14.52"/>
    <n v="4.7300000000000004"/>
    <x v="0"/>
    <n v="102"/>
    <n v="173"/>
    <n v="84"/>
    <n v="57"/>
    <s v="Good"/>
  </r>
  <r>
    <n v="209"/>
    <x v="190"/>
    <x v="201"/>
    <n v="3"/>
    <s v="elective"/>
    <x v="0"/>
    <x v="3"/>
    <n v="67"/>
    <n v="2.54"/>
    <n v="0.61"/>
    <x v="0"/>
    <n v="65"/>
    <n v="170"/>
    <n v="80"/>
    <n v="45"/>
    <s v="Moderate"/>
  </r>
  <r>
    <n v="210"/>
    <x v="191"/>
    <x v="202"/>
    <n v="1"/>
    <s v="emergency"/>
    <x v="3"/>
    <x v="0"/>
    <n v="77"/>
    <n v="54.24"/>
    <n v="18.63"/>
    <x v="0"/>
    <n v="65"/>
    <n v="166"/>
    <n v="62"/>
    <n v="24"/>
    <s v="Poor"/>
  </r>
  <r>
    <n v="211"/>
    <x v="192"/>
    <x v="203"/>
    <n v="3"/>
    <s v="urgent"/>
    <x v="2"/>
    <x v="11"/>
    <n v="59"/>
    <n v="1.43"/>
    <n v="1.58"/>
    <x v="0"/>
    <n v="67"/>
    <n v="176"/>
    <n v="74"/>
    <n v="27"/>
    <s v="Poor"/>
  </r>
  <r>
    <n v="212"/>
    <x v="193"/>
    <x v="204"/>
    <n v="5"/>
    <s v="elective"/>
    <x v="3"/>
    <x v="4"/>
    <n v="73"/>
    <n v="8.82"/>
    <n v="5.16"/>
    <x v="0"/>
    <n v="95"/>
    <n v="185"/>
    <n v="92"/>
    <n v="10"/>
    <s v="Moderate"/>
  </r>
  <r>
    <n v="213"/>
    <x v="194"/>
    <x v="205"/>
    <n v="2"/>
    <s v="elective"/>
    <x v="0"/>
    <x v="2"/>
    <n v="71"/>
    <n v="8.48"/>
    <n v="4.71"/>
    <x v="0"/>
    <n v="65"/>
    <n v="168"/>
    <n v="93"/>
    <n v="62"/>
    <s v="Good"/>
  </r>
  <r>
    <n v="214"/>
    <x v="195"/>
    <x v="206"/>
    <n v="5"/>
    <s v="elective"/>
    <x v="2"/>
    <x v="4"/>
    <n v="71"/>
    <n v="3.3"/>
    <n v="1.07"/>
    <x v="0"/>
    <n v="74"/>
    <n v="173"/>
    <n v="93"/>
    <n v="66"/>
    <s v="Good"/>
  </r>
  <r>
    <n v="215"/>
    <x v="196"/>
    <x v="207"/>
    <n v="3"/>
    <s v="urgent"/>
    <x v="0"/>
    <x v="11"/>
    <n v="59"/>
    <n v="1.51"/>
    <n v="0.92"/>
    <x v="0"/>
    <n v="62"/>
    <n v="167"/>
    <n v="77"/>
    <n v="67"/>
    <s v="Good"/>
  </r>
  <r>
    <n v="216"/>
    <x v="197"/>
    <x v="208"/>
    <n v="2"/>
    <s v="elective"/>
    <x v="0"/>
    <x v="2"/>
    <n v="69"/>
    <n v="2.89"/>
    <n v="2.52"/>
    <x v="0"/>
    <n v="63"/>
    <n v="179"/>
    <n v="88"/>
    <n v="25"/>
    <s v="Poor"/>
  </r>
  <r>
    <n v="217"/>
    <x v="198"/>
    <x v="209"/>
    <n v="6"/>
    <s v="urgent"/>
    <x v="2"/>
    <x v="12"/>
    <n v="67"/>
    <n v="2.5499999999999998"/>
    <n v="1.31"/>
    <x v="0"/>
    <n v="80"/>
    <n v="160"/>
    <n v="76"/>
    <n v="15"/>
    <s v="Very Poor"/>
  </r>
  <r>
    <n v="218"/>
    <x v="199"/>
    <x v="210"/>
    <n v="5"/>
    <s v="elective"/>
    <x v="2"/>
    <x v="15"/>
    <n v="71"/>
    <n v="2.68"/>
    <n v="1.35"/>
    <x v="0"/>
    <n v="72"/>
    <n v="178"/>
    <n v="115"/>
    <n v="38"/>
    <s v="Moderate"/>
  </r>
  <r>
    <n v="219"/>
    <x v="200"/>
    <x v="211"/>
    <n v="6"/>
    <s v="urgent"/>
    <x v="2"/>
    <x v="12"/>
    <n v="56"/>
    <n v="0.88"/>
    <n v="0.69"/>
    <x v="0"/>
    <n v="128"/>
    <n v="179"/>
    <n v="101"/>
    <n v="50"/>
    <s v="Moderate"/>
  </r>
  <r>
    <n v="220"/>
    <x v="201"/>
    <x v="212"/>
    <n v="5"/>
    <s v="elective"/>
    <x v="0"/>
    <x v="12"/>
    <n v="75"/>
    <n v="6.32"/>
    <n v="4.83"/>
    <x v="0"/>
    <n v="93"/>
    <n v="167"/>
    <n v="81"/>
    <n v="35"/>
    <s v="Moderate"/>
  </r>
  <r>
    <n v="221"/>
    <x v="202"/>
    <x v="213"/>
    <n v="2"/>
    <s v="elective"/>
    <x v="3"/>
    <x v="10"/>
    <n v="83"/>
    <n v="28.58"/>
    <n v="7.1"/>
    <x v="0"/>
    <n v="82"/>
    <n v="170"/>
    <n v="103"/>
    <n v="35"/>
    <s v="Moderate"/>
  </r>
  <r>
    <n v="222"/>
    <x v="203"/>
    <x v="214"/>
    <n v="3"/>
    <s v="urgent"/>
    <x v="4"/>
    <x v="11"/>
    <n v="71"/>
    <n v="17.28"/>
    <n v="6.74"/>
    <x v="0"/>
    <n v="75"/>
    <n v="162"/>
    <n v="85"/>
    <n v="29"/>
    <s v="Poor"/>
  </r>
  <r>
    <n v="223"/>
    <x v="203"/>
    <x v="215"/>
    <n v="6"/>
    <s v="urgent"/>
    <x v="0"/>
    <x v="9"/>
    <n v="70"/>
    <n v="3.08"/>
    <n v="1.01"/>
    <x v="0"/>
    <n v="104"/>
    <n v="173"/>
    <n v="86"/>
    <n v="40"/>
    <s v="Moderate"/>
  </r>
  <r>
    <n v="225"/>
    <x v="204"/>
    <x v="216"/>
    <n v="3"/>
    <s v="elective"/>
    <x v="0"/>
    <x v="10"/>
    <n v="54"/>
    <n v="1.51"/>
    <n v="0.67"/>
    <x v="0"/>
    <n v="73"/>
    <n v="149"/>
    <n v="54"/>
    <n v="40"/>
    <s v="Moderate"/>
  </r>
  <r>
    <n v="226"/>
    <x v="205"/>
    <x v="217"/>
    <n v="1"/>
    <s v="elective"/>
    <x v="0"/>
    <x v="9"/>
    <n v="24"/>
    <n v="2.08"/>
    <n v="0.69"/>
    <x v="0"/>
    <n v="65"/>
    <n v="167"/>
    <n v="115"/>
    <n v="50"/>
    <s v="Moderate"/>
  </r>
  <r>
    <n v="227"/>
    <x v="206"/>
    <x v="218"/>
    <n v="6"/>
    <s v="emergency"/>
    <x v="2"/>
    <x v="11"/>
    <n v="74"/>
    <n v="54.68"/>
    <n v="51.16"/>
    <x v="1"/>
    <n v="82"/>
    <n v="146"/>
    <n v="75"/>
    <n v="45"/>
    <s v="Moderate"/>
  </r>
  <r>
    <n v="228"/>
    <x v="207"/>
    <x v="219"/>
    <n v="5"/>
    <s v="elective"/>
    <x v="2"/>
    <x v="1"/>
    <n v="61"/>
    <n v="1.52"/>
    <n v="0.95"/>
    <x v="0"/>
    <n v="113"/>
    <n v="157"/>
    <n v="61"/>
    <n v="25"/>
    <s v="Poor"/>
  </r>
  <r>
    <n v="229"/>
    <x v="208"/>
    <x v="220"/>
    <n v="2"/>
    <s v="elective"/>
    <x v="2"/>
    <x v="0"/>
    <n v="73"/>
    <n v="2.21"/>
    <n v="1.0900000000000001"/>
    <x v="0"/>
    <n v="81"/>
    <n v="174"/>
    <n v="92"/>
    <n v="66"/>
    <s v="Good"/>
  </r>
  <r>
    <n v="230"/>
    <x v="209"/>
    <x v="221"/>
    <n v="2"/>
    <s v="elective"/>
    <x v="2"/>
    <x v="0"/>
    <n v="68"/>
    <n v="1.59"/>
    <n v="0.95"/>
    <x v="0"/>
    <n v="85"/>
    <n v="170"/>
    <n v="78"/>
    <n v="16"/>
    <s v="Very Poor"/>
  </r>
  <r>
    <n v="231"/>
    <x v="207"/>
    <x v="222"/>
    <n v="5"/>
    <s v="elective"/>
    <x v="2"/>
    <x v="1"/>
    <n v="73"/>
    <n v="2.21"/>
    <n v="0.73"/>
    <x v="0"/>
    <n v="83"/>
    <n v="170"/>
    <n v="98"/>
    <n v="55"/>
    <s v="Good"/>
  </r>
  <r>
    <n v="232"/>
    <x v="198"/>
    <x v="223"/>
    <n v="5"/>
    <s v="urgent"/>
    <x v="0"/>
    <x v="12"/>
    <n v="79"/>
    <n v="15.46"/>
    <n v="20.69"/>
    <x v="0"/>
    <n v="77"/>
    <n v="182"/>
    <n v="93"/>
    <n v="58"/>
    <s v="Good"/>
  </r>
  <r>
    <n v="233"/>
    <x v="210"/>
    <x v="224"/>
    <n v="6"/>
    <s v="urgent"/>
    <x v="0"/>
    <x v="1"/>
    <n v="73"/>
    <n v="20.86"/>
    <n v="14.43"/>
    <x v="0"/>
    <n v="83"/>
    <n v="170"/>
    <n v="74"/>
    <n v="29"/>
    <s v="Poor"/>
  </r>
  <r>
    <n v="234"/>
    <x v="211"/>
    <x v="225"/>
    <n v="2"/>
    <s v="elective"/>
    <x v="3"/>
    <x v="11"/>
    <n v="60"/>
    <n v="1.61"/>
    <n v="1.47"/>
    <x v="0"/>
    <n v="73"/>
    <n v="156"/>
    <n v="66"/>
    <n v="21"/>
    <s v="Poor"/>
  </r>
  <r>
    <n v="235"/>
    <x v="212"/>
    <x v="226"/>
    <n v="5"/>
    <s v="urgent"/>
    <x v="2"/>
    <x v="12"/>
    <n v="73"/>
    <n v="35.71"/>
    <n v="29.56"/>
    <x v="0"/>
    <n v="99"/>
    <n v="173"/>
    <n v="103"/>
    <n v="45"/>
    <s v="Moderate"/>
  </r>
  <r>
    <n v="236"/>
    <x v="213"/>
    <x v="227"/>
    <n v="3"/>
    <s v="elective"/>
    <x v="0"/>
    <x v="6"/>
    <n v="69"/>
    <n v="5.92"/>
    <n v="3.15"/>
    <x v="0"/>
    <n v="94"/>
    <n v="170"/>
    <n v="68"/>
    <n v="45"/>
    <s v="Moderate"/>
  </r>
  <r>
    <n v="237"/>
    <x v="214"/>
    <x v="228"/>
    <n v="3"/>
    <s v="elective"/>
    <x v="0"/>
    <x v="3"/>
    <n v="58"/>
    <n v="1.51"/>
    <n v="0.67"/>
    <x v="0"/>
    <n v="65"/>
    <n v="155"/>
    <n v="58"/>
    <n v="46"/>
    <s v="Moderate"/>
  </r>
  <r>
    <n v="238"/>
    <x v="215"/>
    <x v="229"/>
    <n v="5"/>
    <s v="urgent"/>
    <x v="2"/>
    <x v="4"/>
    <n v="70"/>
    <n v="11.52"/>
    <n v="8.9600000000000009"/>
    <x v="0"/>
    <n v="66"/>
    <n v="159"/>
    <n v="73"/>
    <n v="65"/>
    <s v="Good"/>
  </r>
  <r>
    <n v="239"/>
    <x v="216"/>
    <x v="230"/>
    <n v="6"/>
    <s v="elective"/>
    <x v="0"/>
    <x v="15"/>
    <n v="73"/>
    <n v="3.74"/>
    <n v="1.02"/>
    <x v="0"/>
    <n v="86"/>
    <n v="183"/>
    <n v="95"/>
    <n v="28"/>
    <s v="Poor"/>
  </r>
  <r>
    <n v="240"/>
    <x v="217"/>
    <x v="231"/>
    <n v="2"/>
    <s v="elective"/>
    <x v="2"/>
    <x v="7"/>
    <n v="79"/>
    <n v="3.26"/>
    <n v="1.1599999999999999"/>
    <x v="0"/>
    <n v="65"/>
    <n v="181"/>
    <n v="76"/>
    <n v="49"/>
    <s v="Moderate"/>
  </r>
  <r>
    <n v="242"/>
    <x v="218"/>
    <x v="232"/>
    <n v="5"/>
    <s v="elective"/>
    <x v="2"/>
    <x v="4"/>
    <n v="75"/>
    <n v="3.47"/>
    <n v="1.43"/>
    <x v="0"/>
    <n v="101"/>
    <n v="177"/>
    <n v="103"/>
    <n v="60"/>
    <s v="Good"/>
  </r>
  <r>
    <n v="243"/>
    <x v="219"/>
    <x v="233"/>
    <n v="6"/>
    <s v="urgent"/>
    <x v="2"/>
    <x v="15"/>
    <n v="63"/>
    <n v="1.1499999999999999"/>
    <n v="1.25"/>
    <x v="0"/>
    <n v="76"/>
    <n v="167"/>
    <n v="76"/>
    <n v="42"/>
    <s v="Moderate"/>
  </r>
  <r>
    <n v="244"/>
    <x v="220"/>
    <x v="234"/>
    <n v="2"/>
    <s v="elective"/>
    <x v="2"/>
    <x v="10"/>
    <n v="67"/>
    <n v="3.34"/>
    <n v="2.2200000000000002"/>
    <x v="0"/>
    <n v="62"/>
    <n v="160"/>
    <n v="87"/>
    <n v="35"/>
    <s v="Moderate"/>
  </r>
  <r>
    <n v="245"/>
    <x v="221"/>
    <x v="235"/>
    <n v="3"/>
    <s v="elective"/>
    <x v="3"/>
    <x v="0"/>
    <n v="67"/>
    <n v="4.09"/>
    <n v="1.41"/>
    <x v="0"/>
    <n v="77"/>
    <n v="170"/>
    <n v="91"/>
    <n v="71"/>
    <s v="Good"/>
  </r>
  <r>
    <n v="246"/>
    <x v="222"/>
    <x v="236"/>
    <n v="5"/>
    <s v="elective"/>
    <x v="0"/>
    <x v="8"/>
    <n v="61"/>
    <n v="1.39"/>
    <n v="0.96"/>
    <x v="0"/>
    <n v="76"/>
    <n v="173"/>
    <n v="92"/>
    <n v="35"/>
    <s v="Moderate"/>
  </r>
  <r>
    <n v="247"/>
    <x v="223"/>
    <x v="237"/>
    <n v="3"/>
    <s v="elective"/>
    <x v="2"/>
    <x v="0"/>
    <n v="74"/>
    <n v="3.54"/>
    <n v="1.1299999999999999"/>
    <x v="0"/>
    <n v="65"/>
    <n v="177"/>
    <n v="85"/>
    <n v="55"/>
    <s v="Good"/>
  </r>
  <r>
    <n v="248"/>
    <x v="224"/>
    <x v="238"/>
    <n v="3"/>
    <s v="elective"/>
    <x v="0"/>
    <x v="1"/>
    <n v="63"/>
    <n v="10.49"/>
    <n v="3.27"/>
    <x v="0"/>
    <n v="89"/>
    <n v="169"/>
    <n v="66"/>
    <n v="27"/>
    <s v="Poor"/>
  </r>
  <r>
    <n v="249"/>
    <x v="225"/>
    <x v="239"/>
    <n v="6"/>
    <s v="urgent"/>
    <x v="2"/>
    <x v="9"/>
    <n v="83"/>
    <n v="46.31"/>
    <n v="34.32"/>
    <x v="0"/>
    <n v="109"/>
    <n v="181"/>
    <n v="85"/>
    <n v="55"/>
    <s v="Good"/>
  </r>
  <r>
    <n v="250"/>
    <x v="226"/>
    <x v="240"/>
    <n v="2"/>
    <s v="urgent"/>
    <x v="0"/>
    <x v="15"/>
    <n v="74"/>
    <n v="9.3699999999999992"/>
    <n v="3.02"/>
    <x v="0"/>
    <n v="73"/>
    <n v="164"/>
    <n v="73"/>
    <n v="60"/>
    <s v="Good"/>
  </r>
  <r>
    <n v="251"/>
    <x v="227"/>
    <x v="241"/>
    <n v="3"/>
    <s v="emergency"/>
    <x v="1"/>
    <x v="6"/>
    <n v="80"/>
    <n v="61.72"/>
    <n v="53.08"/>
    <x v="1"/>
    <n v="80"/>
    <n v="171"/>
    <n v="67"/>
    <n v="42"/>
    <s v="Moderate"/>
  </r>
  <r>
    <n v="252"/>
    <x v="228"/>
    <x v="242"/>
    <n v="2"/>
    <s v="urgent"/>
    <x v="3"/>
    <x v="7"/>
    <n v="62"/>
    <n v="4.67"/>
    <n v="2.2000000000000002"/>
    <x v="0"/>
    <n v="85"/>
    <n v="173"/>
    <n v="66"/>
    <n v="47"/>
    <s v="Moderate"/>
  </r>
  <r>
    <n v="253"/>
    <x v="229"/>
    <x v="243"/>
    <n v="1"/>
    <s v="emergency"/>
    <x v="0"/>
    <x v="6"/>
    <n v="46"/>
    <n v="8.57"/>
    <n v="1.86"/>
    <x v="0"/>
    <n v="71"/>
    <n v="181"/>
    <n v="94"/>
    <n v="66"/>
    <s v="Good"/>
  </r>
  <r>
    <n v="254"/>
    <x v="230"/>
    <x v="244"/>
    <n v="2"/>
    <s v="elective"/>
    <x v="2"/>
    <x v="13"/>
    <n v="70"/>
    <n v="4.4000000000000004"/>
    <n v="1.22"/>
    <x v="0"/>
    <n v="65"/>
    <n v="177"/>
    <n v="88"/>
    <n v="20"/>
    <s v="Very Poor"/>
  </r>
  <r>
    <n v="255"/>
    <x v="231"/>
    <x v="245"/>
    <n v="5"/>
    <s v="elective"/>
    <x v="0"/>
    <x v="8"/>
    <n v="61"/>
    <n v="1.72"/>
    <n v="0.7"/>
    <x v="0"/>
    <n v="108"/>
    <n v="188"/>
    <n v="80"/>
    <n v="55"/>
    <s v="Good"/>
  </r>
  <r>
    <n v="256"/>
    <x v="232"/>
    <x v="246"/>
    <n v="1"/>
    <s v="urgent"/>
    <x v="3"/>
    <x v="0"/>
    <n v="67"/>
    <n v="11.84"/>
    <n v="7.66"/>
    <x v="0"/>
    <n v="87"/>
    <n v="194"/>
    <n v="103"/>
    <n v="55"/>
    <s v="Good"/>
  </r>
  <r>
    <n v="257"/>
    <x v="233"/>
    <x v="247"/>
    <n v="5"/>
    <s v="elective"/>
    <x v="0"/>
    <x v="6"/>
    <n v="79"/>
    <n v="8.1"/>
    <n v="1.86"/>
    <x v="0"/>
    <n v="123"/>
    <n v="164"/>
    <n v="67"/>
    <n v="53"/>
    <s v="Good"/>
  </r>
  <r>
    <n v="258"/>
    <x v="234"/>
    <x v="248"/>
    <n v="3"/>
    <s v="elective"/>
    <x v="2"/>
    <x v="4"/>
    <n v="70"/>
    <n v="8.7100000000000009"/>
    <n v="3.1"/>
    <x v="0"/>
    <n v="70"/>
    <n v="184"/>
    <n v="96"/>
    <n v="50"/>
    <s v="Moderate"/>
  </r>
  <r>
    <n v="259"/>
    <x v="233"/>
    <x v="249"/>
    <n v="6"/>
    <s v="elective"/>
    <x v="4"/>
    <x v="1"/>
    <n v="64"/>
    <n v="20.51"/>
    <n v="5.31"/>
    <x v="0"/>
    <n v="71"/>
    <n v="178"/>
    <n v="126"/>
    <n v="65"/>
    <s v="Good"/>
  </r>
  <r>
    <n v="260"/>
    <x v="233"/>
    <x v="250"/>
    <n v="2"/>
    <s v="elective"/>
    <x v="4"/>
    <x v="11"/>
    <n v="61"/>
    <n v="8.77"/>
    <n v="2.62"/>
    <x v="0"/>
    <n v="105"/>
    <n v="182"/>
    <n v="103"/>
    <n v="60"/>
    <s v="Good"/>
  </r>
  <r>
    <n v="261"/>
    <x v="235"/>
    <x v="251"/>
    <n v="2"/>
    <s v="elective"/>
    <x v="0"/>
    <x v="11"/>
    <n v="82"/>
    <n v="13.89"/>
    <n v="2.52"/>
    <x v="0"/>
    <n v="109"/>
    <n v="170"/>
    <n v="84"/>
    <n v="50"/>
    <s v="Moderate"/>
  </r>
  <r>
    <n v="262"/>
    <x v="236"/>
    <x v="252"/>
    <n v="3"/>
    <s v="urgent"/>
    <x v="2"/>
    <x v="4"/>
    <n v="82"/>
    <n v="5.89"/>
    <n v="3.14"/>
    <x v="0"/>
    <n v="61"/>
    <n v="163"/>
    <n v="62"/>
    <n v="65"/>
    <s v="Good"/>
  </r>
  <r>
    <n v="263"/>
    <x v="237"/>
    <x v="253"/>
    <n v="1"/>
    <s v="elective"/>
    <x v="2"/>
    <x v="0"/>
    <n v="51"/>
    <n v="1.22"/>
    <n v="0.69"/>
    <x v="0"/>
    <n v="156"/>
    <n v="174"/>
    <n v="80"/>
    <n v="62"/>
    <s v="Good"/>
  </r>
  <r>
    <n v="264"/>
    <x v="238"/>
    <x v="254"/>
    <n v="5"/>
    <s v="elective"/>
    <x v="0"/>
    <x v="11"/>
    <n v="77"/>
    <n v="4.83"/>
    <n v="2.99"/>
    <x v="0"/>
    <n v="91"/>
    <n v="183"/>
    <n v="80"/>
    <n v="29"/>
    <s v="Poor"/>
  </r>
  <r>
    <n v="265"/>
    <x v="226"/>
    <x v="255"/>
    <n v="6"/>
    <s v="urgent"/>
    <x v="2"/>
    <x v="7"/>
    <n v="57"/>
    <n v="3.95"/>
    <n v="1.22"/>
    <x v="0"/>
    <n v="103"/>
    <n v="174"/>
    <n v="80"/>
    <n v="65"/>
    <s v="Good"/>
  </r>
  <r>
    <n v="266"/>
    <x v="239"/>
    <x v="256"/>
    <n v="3"/>
    <s v="elective"/>
    <x v="3"/>
    <x v="1"/>
    <n v="82"/>
    <n v="12"/>
    <n v="5.67"/>
    <x v="0"/>
    <n v="61"/>
    <n v="172"/>
    <n v="78"/>
    <n v="35"/>
    <s v="Moderate"/>
  </r>
  <r>
    <n v="267"/>
    <x v="238"/>
    <x v="257"/>
    <n v="2"/>
    <s v="elective"/>
    <x v="0"/>
    <x v="2"/>
    <n v="72"/>
    <n v="4.8099999999999996"/>
    <n v="2.27"/>
    <x v="0"/>
    <n v="83"/>
    <n v="172"/>
    <n v="66"/>
    <n v="55"/>
    <s v="Good"/>
  </r>
  <r>
    <n v="268"/>
    <x v="240"/>
    <x v="258"/>
    <n v="5"/>
    <s v="urgent"/>
    <x v="2"/>
    <x v="11"/>
    <n v="82"/>
    <n v="9.75"/>
    <n v="6.17"/>
    <x v="0"/>
    <n v="95"/>
    <n v="174"/>
    <n v="80"/>
    <n v="44"/>
    <s v="Moderate"/>
  </r>
  <r>
    <n v="269"/>
    <x v="241"/>
    <x v="259"/>
    <n v="3"/>
    <s v="elective"/>
    <x v="2"/>
    <x v="1"/>
    <n v="57"/>
    <n v="1.33"/>
    <n v="0.69"/>
    <x v="0"/>
    <n v="79"/>
    <n v="163"/>
    <n v="82"/>
    <n v="40"/>
    <s v="Moderate"/>
  </r>
  <r>
    <n v="270"/>
    <x v="242"/>
    <x v="260"/>
    <n v="2"/>
    <s v="elective"/>
    <x v="0"/>
    <x v="2"/>
    <n v="69"/>
    <n v="3.98"/>
    <n v="2.3199999999999998"/>
    <x v="0"/>
    <n v="94"/>
    <n v="172"/>
    <n v="80"/>
    <n v="25"/>
    <s v="Poor"/>
  </r>
  <r>
    <n v="271"/>
    <x v="243"/>
    <x v="261"/>
    <n v="6"/>
    <s v="elective"/>
    <x v="2"/>
    <x v="13"/>
    <n v="58"/>
    <n v="0.88"/>
    <n v="0.75"/>
    <x v="0"/>
    <n v="150"/>
    <n v="175"/>
    <n v="88"/>
    <n v="55"/>
    <s v="Good"/>
  </r>
  <r>
    <n v="272"/>
    <x v="244"/>
    <x v="262"/>
    <n v="6"/>
    <s v="urgent"/>
    <x v="2"/>
    <x v="15"/>
    <n v="70"/>
    <n v="3.09"/>
    <n v="1.43"/>
    <x v="0"/>
    <n v="106"/>
    <n v="143"/>
    <n v="50"/>
    <n v="54"/>
    <s v="Good"/>
  </r>
  <r>
    <n v="273"/>
    <x v="245"/>
    <x v="263"/>
    <n v="3"/>
    <s v="elective"/>
    <x v="2"/>
    <x v="0"/>
    <n v="74"/>
    <n v="2.36"/>
    <n v="0.83"/>
    <x v="0"/>
    <n v="72"/>
    <n v="175"/>
    <n v="70"/>
    <n v="55"/>
    <s v="Good"/>
  </r>
  <r>
    <n v="274"/>
    <x v="246"/>
    <x v="264"/>
    <n v="5"/>
    <s v="urgent"/>
    <x v="0"/>
    <x v="8"/>
    <n v="72"/>
    <n v="12.83"/>
    <n v="9.5399999999999991"/>
    <x v="0"/>
    <n v="85"/>
    <n v="172"/>
    <n v="75"/>
    <n v="53"/>
    <s v="Good"/>
  </r>
  <r>
    <n v="275"/>
    <x v="247"/>
    <x v="265"/>
    <n v="2"/>
    <s v="elective"/>
    <x v="0"/>
    <x v="2"/>
    <n v="67"/>
    <n v="5.22"/>
    <n v="3.58"/>
    <x v="0"/>
    <n v="120"/>
    <n v="174"/>
    <n v="109"/>
    <n v="68"/>
    <s v="Good"/>
  </r>
  <r>
    <n v="276"/>
    <x v="248"/>
    <x v="266"/>
    <n v="6"/>
    <s v="urgent"/>
    <x v="4"/>
    <x v="11"/>
    <n v="61"/>
    <n v="5.28"/>
    <n v="3.08"/>
    <x v="0"/>
    <n v="74"/>
    <n v="148"/>
    <n v="99"/>
    <n v="62"/>
    <s v="Good"/>
  </r>
  <r>
    <n v="277"/>
    <x v="249"/>
    <x v="267"/>
    <n v="2"/>
    <s v="elective"/>
    <x v="2"/>
    <x v="15"/>
    <n v="69"/>
    <n v="2.9"/>
    <n v="2"/>
    <x v="0"/>
    <n v="65"/>
    <n v="190"/>
    <n v="95"/>
    <n v="45"/>
    <s v="Moderate"/>
  </r>
  <r>
    <n v="278"/>
    <x v="250"/>
    <x v="268"/>
    <n v="2"/>
    <s v="urgent"/>
    <x v="2"/>
    <x v="15"/>
    <n v="76"/>
    <n v="6.22"/>
    <n v="1.56"/>
    <x v="0"/>
    <n v="82"/>
    <n v="172"/>
    <n v="80"/>
    <n v="45"/>
    <s v="Moderate"/>
  </r>
  <r>
    <n v="279"/>
    <x v="251"/>
    <x v="269"/>
    <n v="5"/>
    <s v="elective"/>
    <x v="3"/>
    <x v="9"/>
    <n v="77"/>
    <n v="4.83"/>
    <n v="3.77"/>
    <x v="0"/>
    <n v="62"/>
    <n v="165"/>
    <n v="65"/>
    <n v="52"/>
    <s v="Good"/>
  </r>
  <r>
    <n v="280"/>
    <x v="252"/>
    <x v="270"/>
    <n v="3"/>
    <s v="elective"/>
    <x v="4"/>
    <x v="1"/>
    <n v="53"/>
    <n v="6.35"/>
    <n v="2.04"/>
    <x v="0"/>
    <n v="76"/>
    <n v="165"/>
    <n v="95"/>
    <n v="12"/>
    <s v="Very Poor"/>
  </r>
  <r>
    <n v="281"/>
    <x v="253"/>
    <x v="271"/>
    <n v="6"/>
    <s v="urgent"/>
    <x v="3"/>
    <x v="11"/>
    <n v="77"/>
    <n v="11.75"/>
    <n v="5.61"/>
    <x v="0"/>
    <n v="65"/>
    <n v="173"/>
    <n v="87"/>
    <n v="36"/>
    <s v="Moderate"/>
  </r>
  <r>
    <n v="282"/>
    <x v="254"/>
    <x v="272"/>
    <n v="3"/>
    <s v="elective"/>
    <x v="2"/>
    <x v="1"/>
    <n v="66"/>
    <n v="1.4"/>
    <n v="0.66"/>
    <x v="0"/>
    <n v="61"/>
    <n v="169"/>
    <n v="125"/>
    <n v="60"/>
    <s v="Good"/>
  </r>
  <r>
    <n v="283"/>
    <x v="255"/>
    <x v="273"/>
    <n v="5"/>
    <s v="elective"/>
    <x v="3"/>
    <x v="9"/>
    <n v="59"/>
    <n v="2.27"/>
    <n v="1.98"/>
    <x v="0"/>
    <n v="83"/>
    <n v="165"/>
    <n v="78"/>
    <n v="50"/>
    <s v="Moderate"/>
  </r>
  <r>
    <n v="284"/>
    <x v="256"/>
    <x v="274"/>
    <n v="2"/>
    <s v="elective"/>
    <x v="0"/>
    <x v="0"/>
    <n v="52"/>
    <n v="4.38"/>
    <n v="1.67"/>
    <x v="0"/>
    <n v="105"/>
    <n v="161"/>
    <n v="46"/>
    <n v="60"/>
    <s v="Good"/>
  </r>
  <r>
    <n v="285"/>
    <x v="257"/>
    <x v="275"/>
    <n v="5"/>
    <s v="elective"/>
    <x v="4"/>
    <x v="9"/>
    <n v="69"/>
    <n v="19.12"/>
    <n v="5.71"/>
    <x v="0"/>
    <n v="78"/>
    <n v="154"/>
    <n v="85"/>
    <n v="51"/>
    <s v="Good"/>
  </r>
  <r>
    <n v="286"/>
    <x v="258"/>
    <x v="276"/>
    <n v="2"/>
    <s v="elective"/>
    <x v="2"/>
    <x v="0"/>
    <n v="76"/>
    <n v="5.61"/>
    <n v="1.75"/>
    <x v="0"/>
    <n v="81"/>
    <n v="181"/>
    <n v="93"/>
    <n v="56"/>
    <s v="Good"/>
  </r>
  <r>
    <n v="287"/>
    <x v="259"/>
    <x v="277"/>
    <n v="5"/>
    <s v="urgent"/>
    <x v="2"/>
    <x v="12"/>
    <n v="69"/>
    <n v="3.99"/>
    <n v="1.28"/>
    <x v="0"/>
    <n v="76"/>
    <n v="169"/>
    <n v="83"/>
    <n v="60"/>
    <s v="Good"/>
  </r>
  <r>
    <n v="288"/>
    <x v="260"/>
    <x v="278"/>
    <n v="2"/>
    <s v="elective"/>
    <x v="2"/>
    <x v="11"/>
    <n v="82"/>
    <n v="3.95"/>
    <n v="1.04"/>
    <x v="0"/>
    <n v="84"/>
    <n v="171"/>
    <n v="77"/>
    <n v="10"/>
    <s v="Very Poor"/>
  </r>
  <r>
    <n v="289"/>
    <x v="260"/>
    <x v="279"/>
    <n v="6"/>
    <s v="elective"/>
    <x v="2"/>
    <x v="1"/>
    <n v="83"/>
    <n v="4.21"/>
    <n v="0.96"/>
    <x v="0"/>
    <n v="99"/>
    <n v="169"/>
    <n v="91"/>
    <n v="60"/>
    <s v="Good"/>
  </r>
  <r>
    <n v="290"/>
    <x v="261"/>
    <x v="280"/>
    <n v="3"/>
    <s v="elective"/>
    <x v="3"/>
    <x v="6"/>
    <n v="66"/>
    <n v="3.57"/>
    <n v="1.87"/>
    <x v="0"/>
    <n v="66"/>
    <n v="173"/>
    <n v="77"/>
    <n v="35"/>
    <s v="Moderate"/>
  </r>
  <r>
    <n v="291"/>
    <x v="262"/>
    <x v="281"/>
    <n v="2"/>
    <s v="urgent"/>
    <x v="3"/>
    <x v="11"/>
    <n v="80"/>
    <n v="24.21"/>
    <n v="5.8"/>
    <x v="0"/>
    <n v="103"/>
    <n v="175"/>
    <n v="82"/>
    <n v="42"/>
    <s v="Moderate"/>
  </r>
  <r>
    <n v="292"/>
    <x v="263"/>
    <x v="282"/>
    <n v="6"/>
    <s v="elective"/>
    <x v="2"/>
    <x v="1"/>
    <n v="63"/>
    <n v="1.59"/>
    <n v="0.68"/>
    <x v="0"/>
    <n v="66"/>
    <n v="183"/>
    <n v="119"/>
    <n v="39"/>
    <s v="Moderate"/>
  </r>
  <r>
    <n v="293"/>
    <x v="264"/>
    <x v="283"/>
    <n v="5"/>
    <s v="elective"/>
    <x v="3"/>
    <x v="12"/>
    <n v="70"/>
    <n v="4.95"/>
    <n v="1.53"/>
    <x v="0"/>
    <n v="86"/>
    <n v="167"/>
    <n v="61"/>
    <n v="55"/>
    <s v="Good"/>
  </r>
  <r>
    <n v="294"/>
    <x v="265"/>
    <x v="284"/>
    <n v="3"/>
    <s v="elective"/>
    <x v="2"/>
    <x v="6"/>
    <n v="60"/>
    <n v="2.23"/>
    <n v="0.81"/>
    <x v="0"/>
    <n v="90"/>
    <n v="162"/>
    <n v="101"/>
    <n v="60"/>
    <s v="Good"/>
  </r>
  <r>
    <n v="295"/>
    <x v="266"/>
    <x v="285"/>
    <n v="6"/>
    <s v="elective"/>
    <x v="0"/>
    <x v="15"/>
    <n v="77"/>
    <n v="6.59"/>
    <n v="1.82"/>
    <x v="0"/>
    <n v="93"/>
    <n v="165"/>
    <n v="86"/>
    <n v="45"/>
    <s v="Moderate"/>
  </r>
  <r>
    <n v="296"/>
    <x v="267"/>
    <x v="286"/>
    <n v="3"/>
    <s v="urgent"/>
    <x v="3"/>
    <x v="11"/>
    <n v="77"/>
    <n v="7.67"/>
    <n v="2.54"/>
    <x v="0"/>
    <n v="70"/>
    <n v="177"/>
    <n v="75"/>
    <n v="50"/>
    <s v="Moderate"/>
  </r>
  <r>
    <n v="297"/>
    <x v="259"/>
    <x v="287"/>
    <n v="5"/>
    <s v="urgent"/>
    <x v="2"/>
    <x v="4"/>
    <n v="75"/>
    <n v="4.0599999999999996"/>
    <n v="1.9"/>
    <x v="0"/>
    <n v="130"/>
    <n v="171"/>
    <n v="78"/>
    <n v="58"/>
    <s v="Good"/>
  </r>
  <r>
    <n v="298"/>
    <x v="268"/>
    <x v="288"/>
    <n v="6"/>
    <s v="urgent"/>
    <x v="0"/>
    <x v="15"/>
    <n v="52"/>
    <n v="1.51"/>
    <n v="1.31"/>
    <x v="0"/>
    <n v="98"/>
    <n v="167"/>
    <n v="68"/>
    <n v="49"/>
    <s v="Moderate"/>
  </r>
  <r>
    <n v="299"/>
    <x v="269"/>
    <x v="289"/>
    <n v="5"/>
    <s v="elective"/>
    <x v="0"/>
    <x v="4"/>
    <n v="74"/>
    <n v="3.99"/>
    <n v="1"/>
    <x v="0"/>
    <n v="80"/>
    <n v="185"/>
    <n v="100"/>
    <n v="59"/>
    <s v="Good"/>
  </r>
  <r>
    <n v="300"/>
    <x v="270"/>
    <x v="290"/>
    <n v="3"/>
    <s v="elective"/>
    <x v="2"/>
    <x v="11"/>
    <n v="77"/>
    <n v="2.87"/>
    <n v="0.9"/>
    <x v="0"/>
    <n v="70"/>
    <n v="175"/>
    <n v="90"/>
    <n v="55"/>
    <s v="Good"/>
  </r>
  <r>
    <n v="301"/>
    <x v="271"/>
    <x v="291"/>
    <n v="4"/>
    <s v="elective"/>
    <x v="2"/>
    <x v="2"/>
    <n v="79"/>
    <n v="3.26"/>
    <n v="1.28"/>
    <x v="0"/>
    <n v="110"/>
    <n v="157"/>
    <n v="109"/>
    <n v="45"/>
    <s v="Moderate"/>
  </r>
  <r>
    <n v="302"/>
    <x v="272"/>
    <x v="292"/>
    <n v="3"/>
    <s v="elective"/>
    <x v="4"/>
    <x v="15"/>
    <n v="63"/>
    <n v="5.98"/>
    <n v="1.79"/>
    <x v="0"/>
    <n v="73"/>
    <n v="176"/>
    <n v="90"/>
    <n v="65"/>
    <s v="Good"/>
  </r>
  <r>
    <n v="303"/>
    <x v="273"/>
    <x v="293"/>
    <n v="6"/>
    <s v="urgent"/>
    <x v="3"/>
    <x v="9"/>
    <n v="81"/>
    <n v="6.21"/>
    <n v="3.21"/>
    <x v="0"/>
    <n v="73"/>
    <n v="165"/>
    <n v="83"/>
    <n v="37"/>
    <s v="Moderate"/>
  </r>
  <r>
    <n v="304"/>
    <x v="274"/>
    <x v="294"/>
    <n v="2"/>
    <s v="elective"/>
    <x v="0"/>
    <x v="2"/>
    <n v="70"/>
    <n v="6.76"/>
    <n v="1.5"/>
    <x v="0"/>
    <n v="74"/>
    <n v="155"/>
    <n v="63"/>
    <n v="51"/>
    <s v="Good"/>
  </r>
  <r>
    <n v="305"/>
    <x v="273"/>
    <x v="295"/>
    <n v="2"/>
    <s v="urgent"/>
    <x v="2"/>
    <x v="2"/>
    <n v="81"/>
    <n v="5.53"/>
    <n v="2.52"/>
    <x v="0"/>
    <n v="78"/>
    <n v="180"/>
    <n v="91"/>
    <n v="64"/>
    <s v="Good"/>
  </r>
  <r>
    <n v="306"/>
    <x v="275"/>
    <x v="296"/>
    <n v="6"/>
    <s v="elective"/>
    <x v="4"/>
    <x v="9"/>
    <n v="75"/>
    <n v="3.47"/>
    <n v="1.28"/>
    <x v="1"/>
    <n v="76"/>
    <n v="175"/>
    <n v="109"/>
    <n v="65"/>
    <s v="Good"/>
  </r>
  <r>
    <n v="307"/>
    <x v="276"/>
    <x v="297"/>
    <n v="3"/>
    <s v="elective"/>
    <x v="0"/>
    <x v="15"/>
    <n v="73"/>
    <n v="3.74"/>
    <n v="0.81"/>
    <x v="0"/>
    <n v="66"/>
    <n v="178"/>
    <n v="109"/>
    <n v="32"/>
    <s v="Moderate"/>
  </r>
  <r>
    <n v="308"/>
    <x v="273"/>
    <x v="298"/>
    <n v="3"/>
    <s v="urgent"/>
    <x v="3"/>
    <x v="12"/>
    <n v="66"/>
    <n v="10.94"/>
    <n v="7.01"/>
    <x v="1"/>
    <n v="70"/>
    <n v="180"/>
    <n v="68"/>
    <n v="15"/>
    <s v="Very Poor"/>
  </r>
  <r>
    <n v="309"/>
    <x v="277"/>
    <x v="299"/>
    <n v="5"/>
    <s v="elective"/>
    <x v="0"/>
    <x v="1"/>
    <n v="79"/>
    <n v="32.06"/>
    <n v="20.39"/>
    <x v="0"/>
    <n v="96"/>
    <n v="167"/>
    <n v="72"/>
    <n v="55"/>
    <s v="Good"/>
  </r>
  <r>
    <n v="310"/>
    <x v="278"/>
    <x v="300"/>
    <n v="6"/>
    <s v="elective"/>
    <x v="0"/>
    <x v="2"/>
    <n v="73"/>
    <n v="5.98"/>
    <n v="2.37"/>
    <x v="0"/>
    <n v="72"/>
    <n v="154"/>
    <n v="98"/>
    <n v="20"/>
    <s v="Very Poor"/>
  </r>
  <r>
    <n v="311"/>
    <x v="279"/>
    <x v="300"/>
    <n v="1"/>
    <s v="urgent"/>
    <x v="4"/>
    <x v="6"/>
    <n v="71"/>
    <n v="14.16"/>
    <n v="7.27"/>
    <x v="0"/>
    <n v="61"/>
    <n v="172"/>
    <n v="82"/>
    <n v="30"/>
    <s v="Poor"/>
  </r>
  <r>
    <n v="312"/>
    <x v="280"/>
    <x v="301"/>
    <n v="2"/>
    <s v="elective"/>
    <x v="0"/>
    <x v="7"/>
    <n v="70"/>
    <n v="3.08"/>
    <n v="0.67"/>
    <x v="0"/>
    <n v="79"/>
    <n v="181"/>
    <n v="104"/>
    <n v="51"/>
    <s v="Good"/>
  </r>
  <r>
    <n v="313"/>
    <x v="281"/>
    <x v="302"/>
    <n v="1"/>
    <s v="elective"/>
    <x v="0"/>
    <x v="6"/>
    <n v="75"/>
    <n v="6.32"/>
    <n v="1.17"/>
    <x v="0"/>
    <n v="108"/>
    <n v="156"/>
    <n v="67"/>
    <n v="64"/>
    <s v="Good"/>
  </r>
  <r>
    <n v="314"/>
    <x v="282"/>
    <x v="303"/>
    <n v="5"/>
    <s v="elective"/>
    <x v="3"/>
    <x v="1"/>
    <n v="72"/>
    <n v="3.51"/>
    <n v="2.88"/>
    <x v="0"/>
    <n v="80"/>
    <n v="175"/>
    <n v="167"/>
    <n v="60"/>
    <s v="Good"/>
  </r>
  <r>
    <n v="315"/>
    <x v="283"/>
    <x v="304"/>
    <n v="3"/>
    <s v="elective"/>
    <x v="3"/>
    <x v="12"/>
    <n v="81"/>
    <n v="20.07"/>
    <n v="16.09"/>
    <x v="1"/>
    <n v="65"/>
    <n v="180"/>
    <n v="80"/>
    <n v="28"/>
    <s v="Poor"/>
  </r>
  <r>
    <n v="316"/>
    <x v="284"/>
    <x v="305"/>
    <n v="6"/>
    <s v="elective"/>
    <x v="0"/>
    <x v="2"/>
    <n v="60"/>
    <n v="2.2200000000000002"/>
    <n v="0.62"/>
    <x v="0"/>
    <n v="92"/>
    <n v="165"/>
    <n v="65"/>
    <n v="51"/>
    <s v="Good"/>
  </r>
  <r>
    <n v="317"/>
    <x v="285"/>
    <x v="306"/>
    <n v="2"/>
    <s v="elective"/>
    <x v="0"/>
    <x v="7"/>
    <n v="60"/>
    <n v="4.55"/>
    <n v="3.14"/>
    <x v="0"/>
    <n v="70"/>
    <n v="170"/>
    <n v="71"/>
    <n v="50"/>
    <s v="Moderate"/>
  </r>
  <r>
    <n v="318"/>
    <x v="286"/>
    <x v="307"/>
    <n v="3"/>
    <s v="elective"/>
    <x v="0"/>
    <x v="8"/>
    <n v="59"/>
    <n v="1.51"/>
    <n v="0.5"/>
    <x v="0"/>
    <n v="74"/>
    <n v="175"/>
    <n v="95"/>
    <n v="71"/>
    <s v="Good"/>
  </r>
  <r>
    <n v="319"/>
    <x v="287"/>
    <x v="308"/>
    <n v="5"/>
    <s v="elective"/>
    <x v="0"/>
    <x v="2"/>
    <n v="74"/>
    <n v="5.46"/>
    <n v="6.07"/>
    <x v="0"/>
    <n v="73"/>
    <n v="173"/>
    <n v="70"/>
    <n v="55"/>
    <s v="Good"/>
  </r>
  <r>
    <n v="320"/>
    <x v="288"/>
    <x v="309"/>
    <n v="6"/>
    <s v="elective"/>
    <x v="2"/>
    <x v="11"/>
    <n v="81"/>
    <n v="10.14"/>
    <n v="2.34"/>
    <x v="0"/>
    <n v="81"/>
    <n v="150"/>
    <n v="60"/>
    <n v="54"/>
    <s v="Good"/>
  </r>
  <r>
    <n v="321"/>
    <x v="289"/>
    <x v="310"/>
    <n v="6"/>
    <s v="elective"/>
    <x v="2"/>
    <x v="11"/>
    <n v="70"/>
    <n v="2.94"/>
    <n v="0.89"/>
    <x v="0"/>
    <n v="92"/>
    <n v="176"/>
    <n v="89"/>
    <n v="50"/>
    <s v="Moderate"/>
  </r>
  <r>
    <n v="322"/>
    <x v="290"/>
    <x v="311"/>
    <n v="3"/>
    <s v="elective"/>
    <x v="0"/>
    <x v="8"/>
    <n v="68"/>
    <n v="1.59"/>
    <n v="0.63"/>
    <x v="0"/>
    <n v="174"/>
    <n v="175"/>
    <n v="91"/>
    <n v="34"/>
    <s v="Moderate"/>
  </r>
  <r>
    <n v="323"/>
    <x v="291"/>
    <x v="312"/>
    <n v="2"/>
    <s v="elective"/>
    <x v="0"/>
    <x v="1"/>
    <n v="76"/>
    <n v="4.53"/>
    <n v="0.88"/>
    <x v="0"/>
    <n v="93"/>
    <n v="175"/>
    <n v="93"/>
    <n v="50"/>
    <s v="Moderate"/>
  </r>
  <r>
    <n v="324"/>
    <x v="292"/>
    <x v="313"/>
    <n v="5"/>
    <s v="elective"/>
    <x v="0"/>
    <x v="15"/>
    <n v="67"/>
    <n v="2.54"/>
    <n v="0.68"/>
    <x v="0"/>
    <n v="135"/>
    <n v="159"/>
    <n v="94"/>
    <n v="41"/>
    <s v="Moderate"/>
  </r>
  <r>
    <n v="325"/>
    <x v="293"/>
    <x v="314"/>
    <n v="1"/>
    <s v="emergency"/>
    <x v="1"/>
    <x v="11"/>
    <n v="67"/>
    <n v="12.24"/>
    <n v="6.56"/>
    <x v="0"/>
    <n v="137"/>
    <n v="189"/>
    <n v="88"/>
    <n v="50"/>
    <s v="Moderate"/>
  </r>
  <r>
    <n v="326"/>
    <x v="294"/>
    <x v="315"/>
    <n v="2"/>
    <s v="elective"/>
    <x v="2"/>
    <x v="1"/>
    <n v="69"/>
    <n v="3.23"/>
    <n v="1.48"/>
    <x v="0"/>
    <n v="62"/>
    <n v="181"/>
    <n v="77"/>
    <n v="50"/>
    <s v="Moderate"/>
  </r>
  <r>
    <n v="327"/>
    <x v="295"/>
    <x v="316"/>
    <n v="5"/>
    <s v="elective"/>
    <x v="3"/>
    <x v="15"/>
    <n v="70"/>
    <n v="3.08"/>
    <n v="1.27"/>
    <x v="0"/>
    <n v="92"/>
    <n v="170"/>
    <n v="72"/>
    <n v="35"/>
    <s v="Moderate"/>
  </r>
  <r>
    <n v="328"/>
    <x v="296"/>
    <x v="317"/>
    <n v="5"/>
    <s v="urgent"/>
    <x v="2"/>
    <x v="15"/>
    <n v="54"/>
    <n v="2.64"/>
    <n v="1.73"/>
    <x v="0"/>
    <n v="94"/>
    <n v="180"/>
    <n v="130"/>
    <n v="60"/>
    <s v="Good"/>
  </r>
  <r>
    <n v="329"/>
    <x v="297"/>
    <x v="318"/>
    <n v="2"/>
    <s v="elective"/>
    <x v="2"/>
    <x v="11"/>
    <n v="61"/>
    <n v="1.01"/>
    <n v="0.52"/>
    <x v="0"/>
    <n v="159"/>
    <n v="152"/>
    <n v="64"/>
    <n v="55"/>
    <s v="Good"/>
  </r>
  <r>
    <n v="330"/>
    <x v="298"/>
    <x v="319"/>
    <n v="2"/>
    <s v="urgent"/>
    <x v="2"/>
    <x v="11"/>
    <n v="72"/>
    <n v="3.52"/>
    <n v="1.25"/>
    <x v="0"/>
    <n v="74"/>
    <n v="177"/>
    <n v="90"/>
    <n v="42"/>
    <s v="Moderate"/>
  </r>
  <r>
    <n v="331"/>
    <x v="299"/>
    <x v="320"/>
    <n v="3"/>
    <s v="elective"/>
    <x v="4"/>
    <x v="1"/>
    <n v="75"/>
    <n v="16.46"/>
    <n v="1.82"/>
    <x v="0"/>
    <n v="74"/>
    <n v="165"/>
    <n v="83"/>
    <n v="55"/>
    <s v="Good"/>
  </r>
  <r>
    <n v="332"/>
    <x v="300"/>
    <x v="321"/>
    <n v="2"/>
    <s v="elective"/>
    <x v="3"/>
    <x v="2"/>
    <n v="84"/>
    <n v="19.510000000000002"/>
    <n v="15.66"/>
    <x v="0"/>
    <n v="102"/>
    <n v="175"/>
    <n v="107"/>
    <n v="55"/>
    <s v="Good"/>
  </r>
  <r>
    <n v="333"/>
    <x v="301"/>
    <x v="322"/>
    <n v="6"/>
    <s v="urgent"/>
    <x v="2"/>
    <x v="7"/>
    <n v="77"/>
    <n v="22.08"/>
    <n v="4.8499999999999996"/>
    <x v="0"/>
    <n v="73"/>
    <n v="162"/>
    <n v="70"/>
    <n v="57"/>
    <s v="Good"/>
  </r>
  <r>
    <n v="334"/>
    <x v="302"/>
    <x v="323"/>
    <n v="5"/>
    <s v="urgent"/>
    <x v="3"/>
    <x v="8"/>
    <n v="77"/>
    <n v="2.87"/>
    <n v="1.1100000000000001"/>
    <x v="0"/>
    <n v="79"/>
    <n v="168"/>
    <n v="74"/>
    <n v="35"/>
    <s v="Moderate"/>
  </r>
  <r>
    <n v="335"/>
    <x v="303"/>
    <x v="324"/>
    <n v="3"/>
    <s v="urgent"/>
    <x v="0"/>
    <x v="0"/>
    <n v="68"/>
    <n v="5.56"/>
    <n v="2.63"/>
    <x v="0"/>
    <n v="114"/>
    <n v="177"/>
    <n v="80"/>
    <n v="52"/>
    <s v="Good"/>
  </r>
  <r>
    <n v="336"/>
    <x v="304"/>
    <x v="325"/>
    <n v="3"/>
    <s v="urgent"/>
    <x v="3"/>
    <x v="10"/>
    <n v="59"/>
    <n v="2.27"/>
    <n v="1.49"/>
    <x v="0"/>
    <n v="89"/>
    <n v="173"/>
    <n v="80"/>
    <n v="50"/>
    <s v="Moderate"/>
  </r>
  <r>
    <n v="337"/>
    <x v="304"/>
    <x v="326"/>
    <n v="1"/>
    <s v="elective"/>
    <x v="0"/>
    <x v="15"/>
    <n v="70"/>
    <n v="1.82"/>
    <n v="1.56"/>
    <x v="0"/>
    <n v="114"/>
    <n v="168"/>
    <n v="75"/>
    <n v="65"/>
    <s v="Good"/>
  </r>
  <r>
    <n v="338"/>
    <x v="305"/>
    <x v="327"/>
    <n v="5"/>
    <s v="emergency"/>
    <x v="2"/>
    <x v="11"/>
    <n v="74"/>
    <n v="11.45"/>
    <n v="6.12"/>
    <x v="0"/>
    <n v="74"/>
    <n v="172"/>
    <n v="98"/>
    <n v="50"/>
    <s v="Moderate"/>
  </r>
  <r>
    <n v="339"/>
    <x v="306"/>
    <x v="328"/>
    <n v="6"/>
    <s v="urgent"/>
    <x v="2"/>
    <x v="11"/>
    <n v="78"/>
    <n v="6.7"/>
    <n v="1.71"/>
    <x v="0"/>
    <n v="95"/>
    <n v="172"/>
    <n v="100"/>
    <n v="20"/>
    <s v="Very Poor"/>
  </r>
  <r>
    <n v="340"/>
    <x v="307"/>
    <x v="329"/>
    <n v="3"/>
    <s v="urgent"/>
    <x v="2"/>
    <x v="7"/>
    <n v="71"/>
    <n v="1.94"/>
    <n v="1.63"/>
    <x v="0"/>
    <n v="108"/>
    <n v="171"/>
    <n v="80"/>
    <n v="57"/>
    <s v="Good"/>
  </r>
  <r>
    <n v="341"/>
    <x v="308"/>
    <x v="330"/>
    <n v="5"/>
    <s v="urgent"/>
    <x v="0"/>
    <x v="8"/>
    <n v="71"/>
    <n v="3.29"/>
    <n v="0.94"/>
    <x v="0"/>
    <n v="124"/>
    <n v="160"/>
    <n v="78"/>
    <n v="57"/>
    <s v="Good"/>
  </r>
  <r>
    <n v="342"/>
    <x v="309"/>
    <x v="331"/>
    <n v="5"/>
    <s v="emergency"/>
    <x v="2"/>
    <x v="15"/>
    <n v="77"/>
    <n v="26.09"/>
    <n v="4.38"/>
    <x v="0"/>
    <n v="71"/>
    <n v="182"/>
    <n v="95"/>
    <n v="55"/>
    <s v="Good"/>
  </r>
  <r>
    <n v="343"/>
    <x v="310"/>
    <x v="332"/>
    <n v="5"/>
    <s v="emergency"/>
    <x v="4"/>
    <x v="1"/>
    <n v="61"/>
    <n v="36.94"/>
    <n v="5.01"/>
    <x v="0"/>
    <n v="67"/>
    <n v="177"/>
    <n v="77"/>
    <n v="56"/>
    <s v="Good"/>
  </r>
  <r>
    <n v="344"/>
    <x v="311"/>
    <x v="333"/>
    <n v="3"/>
    <s v="urgent"/>
    <x v="5"/>
    <x v="0"/>
    <n v="70"/>
    <n v="6.13"/>
    <n v="2.41"/>
    <x v="0"/>
    <n v="98"/>
    <n v="174"/>
    <n v="91"/>
    <n v="56"/>
    <s v="Good"/>
  </r>
  <r>
    <n v="345"/>
    <x v="312"/>
    <x v="334"/>
    <n v="3"/>
    <s v="elective"/>
    <x v="2"/>
    <x v="6"/>
    <n v="76"/>
    <n v="21.59"/>
    <n v="4.59"/>
    <x v="0"/>
    <n v="113"/>
    <n v="156"/>
    <n v="72"/>
    <n v="59"/>
    <s v="Good"/>
  </r>
  <r>
    <n v="346"/>
    <x v="313"/>
    <x v="335"/>
    <n v="3"/>
    <s v="urgent"/>
    <x v="3"/>
    <x v="11"/>
    <n v="81"/>
    <n v="13.72"/>
    <n v="5.71"/>
    <x v="0"/>
    <n v="72"/>
    <n v="180"/>
    <n v="127"/>
    <n v="50"/>
    <s v="Moderate"/>
  </r>
  <r>
    <n v="347"/>
    <x v="314"/>
    <x v="336"/>
    <n v="5"/>
    <s v="elective"/>
    <x v="2"/>
    <x v="15"/>
    <n v="63"/>
    <n v="2.96"/>
    <n v="1.37"/>
    <x v="0"/>
    <n v="90"/>
    <n v="169"/>
    <n v="113"/>
    <n v="55"/>
    <s v="Good"/>
  </r>
  <r>
    <n v="348"/>
    <x v="302"/>
    <x v="337"/>
    <n v="5"/>
    <s v="urgent"/>
    <x v="0"/>
    <x v="2"/>
    <n v="68"/>
    <n v="7.73"/>
    <n v="2.38"/>
    <x v="0"/>
    <n v="80"/>
    <n v="175"/>
    <n v="68"/>
    <n v="60"/>
    <s v="Good"/>
  </r>
  <r>
    <n v="349"/>
    <x v="315"/>
    <x v="338"/>
    <n v="3"/>
    <s v="elective"/>
    <x v="0"/>
    <x v="8"/>
    <n v="83"/>
    <n v="9.52"/>
    <n v="1.2"/>
    <x v="0"/>
    <n v="105"/>
    <n v="172"/>
    <n v="80"/>
    <n v="55"/>
    <s v="Good"/>
  </r>
  <r>
    <n v="350"/>
    <x v="316"/>
    <x v="339"/>
    <n v="3"/>
    <s v="urgent"/>
    <x v="0"/>
    <x v="6"/>
    <n v="74"/>
    <n v="14.68"/>
    <n v="5.43"/>
    <x v="0"/>
    <n v="88"/>
    <n v="177"/>
    <n v="88"/>
    <n v="45"/>
    <s v="Moderate"/>
  </r>
  <r>
    <n v="351"/>
    <x v="317"/>
    <x v="340"/>
    <n v="5"/>
    <s v="urgent"/>
    <x v="5"/>
    <x v="7"/>
    <n v="73"/>
    <n v="5.33"/>
    <n v="3.46"/>
    <x v="0"/>
    <n v="73"/>
    <n v="173"/>
    <n v="89"/>
    <n v="60"/>
    <s v="Good"/>
  </r>
  <r>
    <n v="352"/>
    <x v="318"/>
    <x v="341"/>
    <n v="3"/>
    <s v="elective"/>
    <x v="4"/>
    <x v="6"/>
    <n v="52"/>
    <n v="23.88"/>
    <n v="9.1999999999999993"/>
    <x v="0"/>
    <n v="128"/>
    <n v="175"/>
    <n v="84"/>
    <n v="48"/>
    <s v="Moderate"/>
  </r>
  <r>
    <n v="353"/>
    <x v="319"/>
    <x v="342"/>
    <n v="5"/>
    <s v="emergency"/>
    <x v="0"/>
    <x v="11"/>
    <n v="55"/>
    <n v="64.930000000000007"/>
    <n v="34.299999999999997"/>
    <x v="1"/>
    <n v="77"/>
    <n v="169"/>
    <n v="77"/>
    <n v="16"/>
    <s v="Very Poor"/>
  </r>
  <r>
    <n v="354"/>
    <x v="320"/>
    <x v="343"/>
    <n v="5"/>
    <s v="emergency"/>
    <x v="2"/>
    <x v="11"/>
    <n v="71"/>
    <n v="14.97"/>
    <n v="5.27"/>
    <x v="0"/>
    <n v="86"/>
    <n v="162"/>
    <n v="91"/>
    <n v="50"/>
    <s v="Moderate"/>
  </r>
  <r>
    <n v="355"/>
    <x v="321"/>
    <x v="344"/>
    <n v="3"/>
    <s v="urgent"/>
    <x v="3"/>
    <x v="15"/>
    <n v="70"/>
    <n v="4.6100000000000003"/>
    <n v="2.7"/>
    <x v="0"/>
    <n v="112"/>
    <n v="169"/>
    <n v="69"/>
    <n v="70"/>
    <s v="Good"/>
  </r>
  <r>
    <n v="356"/>
    <x v="322"/>
    <x v="345"/>
    <n v="5"/>
    <s v="urgent"/>
    <x v="2"/>
    <x v="11"/>
    <n v="81"/>
    <n v="6.23"/>
    <n v="1.45"/>
    <x v="0"/>
    <n v="74"/>
    <n v="165"/>
    <n v="100"/>
    <n v="29"/>
    <s v="Poor"/>
  </r>
  <r>
    <n v="357"/>
    <x v="323"/>
    <x v="346"/>
    <n v="3"/>
    <s v="urgent"/>
    <x v="2"/>
    <x v="1"/>
    <n v="61"/>
    <n v="1.72"/>
    <n v="0.92"/>
    <x v="0"/>
    <n v="102"/>
    <n v="149"/>
    <n v="58"/>
    <n v="48"/>
    <s v="Moderate"/>
  </r>
  <r>
    <n v="358"/>
    <x v="324"/>
    <x v="347"/>
    <n v="5"/>
    <s v="urgent"/>
    <x v="0"/>
    <x v="2"/>
    <n v="62"/>
    <n v="5.32"/>
    <n v="2.2999999999999998"/>
    <x v="1"/>
    <n v="69"/>
    <n v="173"/>
    <n v="103"/>
    <n v="60"/>
    <s v="Good"/>
  </r>
  <r>
    <n v="359"/>
    <x v="323"/>
    <x v="348"/>
    <n v="3"/>
    <s v="urgent"/>
    <x v="0"/>
    <x v="1"/>
    <n v="62"/>
    <n v="5.28"/>
    <n v="2.16"/>
    <x v="0"/>
    <n v="124"/>
    <n v="160"/>
    <n v="80"/>
    <n v="60"/>
    <s v="Good"/>
  </r>
  <r>
    <n v="360"/>
    <x v="325"/>
    <x v="349"/>
    <n v="5"/>
    <s v="urgent"/>
    <x v="2"/>
    <x v="8"/>
    <n v="73"/>
    <n v="2.21"/>
    <n v="1.49"/>
    <x v="1"/>
    <n v="77"/>
    <n v="162"/>
    <n v="64"/>
    <n v="60"/>
    <s v="Good"/>
  </r>
  <r>
    <n v="361"/>
    <x v="326"/>
    <x v="349"/>
    <n v="3"/>
    <s v="urgent"/>
    <x v="2"/>
    <x v="3"/>
    <n v="80"/>
    <n v="5.85"/>
    <n v="1.56"/>
    <x v="0"/>
    <n v="104"/>
    <n v="171"/>
    <n v="100"/>
    <n v="52"/>
    <s v="Good"/>
  </r>
  <r>
    <n v="362"/>
    <x v="327"/>
    <x v="350"/>
    <n v="3"/>
    <s v="urgent"/>
    <x v="2"/>
    <x v="3"/>
    <n v="50"/>
    <n v="2.15"/>
    <n v="2.5"/>
    <x v="0"/>
    <n v="73"/>
    <n v="154"/>
    <n v="108"/>
    <n v="60"/>
    <s v="Good"/>
  </r>
  <r>
    <n v="363"/>
    <x v="328"/>
    <x v="351"/>
    <n v="3"/>
    <s v="urgent"/>
    <x v="2"/>
    <x v="0"/>
    <n v="48"/>
    <n v="1.54"/>
    <n v="1.1499999999999999"/>
    <x v="0"/>
    <n v="86"/>
    <n v="172"/>
    <n v="79"/>
    <n v="62"/>
    <s v="Good"/>
  </r>
  <r>
    <n v="364"/>
    <x v="261"/>
    <x v="352"/>
    <n v="3"/>
    <s v="urgent"/>
    <x v="3"/>
    <x v="0"/>
    <n v="83"/>
    <n v="11.55"/>
    <n v="4.66"/>
    <x v="0"/>
    <n v="72"/>
    <n v="173"/>
    <n v="90"/>
    <n v="48"/>
    <s v="Moderate"/>
  </r>
  <r>
    <n v="365"/>
    <x v="323"/>
    <x v="353"/>
    <n v="5"/>
    <s v="urgent"/>
    <x v="2"/>
    <x v="12"/>
    <n v="73"/>
    <n v="5.15"/>
    <n v="2.15"/>
    <x v="0"/>
    <n v="68"/>
    <n v="195"/>
    <n v="105"/>
    <n v="38"/>
    <s v="Moderate"/>
  </r>
  <r>
    <n v="366"/>
    <x v="329"/>
    <x v="354"/>
    <n v="1"/>
    <s v="urgent"/>
    <x v="2"/>
    <x v="6"/>
    <n v="54"/>
    <n v="2.2799999999999998"/>
    <n v="1.87"/>
    <x v="0"/>
    <n v="140"/>
    <n v="160"/>
    <n v="59"/>
    <n v="67"/>
    <s v="Good"/>
  </r>
  <r>
    <n v="367"/>
    <x v="330"/>
    <x v="355"/>
    <n v="3"/>
    <s v="urgent"/>
    <x v="2"/>
    <x v="11"/>
    <n v="56"/>
    <n v="0.88"/>
    <n v="0.69"/>
    <x v="0"/>
    <n v="70"/>
    <n v="160"/>
    <n v="78"/>
    <n v="60"/>
    <s v="Good"/>
  </r>
  <r>
    <n v="368"/>
    <x v="331"/>
    <x v="356"/>
    <n v="5"/>
    <s v="emergency"/>
    <x v="1"/>
    <x v="0"/>
    <n v="65"/>
    <n v="23.2"/>
    <n v="21.94"/>
    <x v="0"/>
    <n v="119"/>
    <n v="160"/>
    <n v="80"/>
    <n v="55"/>
    <s v="Good"/>
  </r>
  <r>
    <n v="369"/>
    <x v="332"/>
    <x v="357"/>
    <n v="3"/>
    <s v="elective"/>
    <x v="3"/>
    <x v="1"/>
    <n v="76"/>
    <n v="6.73"/>
    <n v="6.95"/>
    <x v="0"/>
    <n v="130"/>
    <n v="170"/>
    <n v="57"/>
    <n v="18"/>
    <s v="Very Poor"/>
  </r>
  <r>
    <n v="371"/>
    <x v="333"/>
    <x v="358"/>
    <n v="3"/>
    <s v="urgent"/>
    <x v="3"/>
    <x v="12"/>
    <n v="64"/>
    <n v="5.3"/>
    <n v="8.31"/>
    <x v="0"/>
    <n v="100"/>
    <n v="173"/>
    <n v="77"/>
    <n v="60"/>
    <s v="Good"/>
  </r>
  <r>
    <n v="372"/>
    <x v="334"/>
    <x v="359"/>
    <n v="4"/>
    <s v="urgent"/>
    <x v="0"/>
    <x v="12"/>
    <n v="67"/>
    <n v="5.6"/>
    <n v="2.1800000000000002"/>
    <x v="0"/>
    <n v="109"/>
    <n v="163"/>
    <n v="79"/>
    <n v="50"/>
    <s v="Moderate"/>
  </r>
  <r>
    <n v="373"/>
    <x v="335"/>
    <x v="360"/>
    <n v="3"/>
    <s v="urgent"/>
    <x v="0"/>
    <x v="8"/>
    <n v="74"/>
    <n v="3.99"/>
    <n v="1.02"/>
    <x v="0"/>
    <n v="124"/>
    <n v="175"/>
    <n v="119"/>
    <n v="65"/>
    <s v="Good"/>
  </r>
  <r>
    <n v="375"/>
    <x v="336"/>
    <x v="361"/>
    <n v="3"/>
    <s v="elective"/>
    <x v="2"/>
    <x v="1"/>
    <n v="49"/>
    <n v="0.88"/>
    <n v="0.5"/>
    <x v="0"/>
    <n v="97"/>
    <n v="170"/>
    <n v="76"/>
    <n v="65"/>
    <s v="Good"/>
  </r>
  <r>
    <n v="376"/>
    <x v="337"/>
    <x v="362"/>
    <n v="5"/>
    <s v="elective"/>
    <x v="0"/>
    <x v="3"/>
    <n v="19"/>
    <n v="0.88"/>
    <n v="0.55000000000000004"/>
    <x v="0"/>
    <n v="69"/>
    <n v="178"/>
    <n v="116"/>
    <n v="40"/>
    <s v="Moderate"/>
  </r>
  <r>
    <n v="377"/>
    <x v="338"/>
    <x v="363"/>
    <n v="5"/>
    <s v="emergency"/>
    <x v="4"/>
    <x v="0"/>
    <n v="76"/>
    <n v="23.59"/>
    <n v="7.51"/>
    <x v="1"/>
    <n v="128"/>
    <n v="155"/>
    <n v="70"/>
    <n v="50"/>
    <s v="Moderate"/>
  </r>
  <r>
    <n v="378"/>
    <x v="339"/>
    <x v="364"/>
    <n v="3"/>
    <s v="elective"/>
    <x v="0"/>
    <x v="12"/>
    <n v="72"/>
    <n v="10.29"/>
    <n v="5.66"/>
    <x v="0"/>
    <n v="97"/>
    <n v="163"/>
    <n v="82"/>
    <n v="60"/>
    <s v="Good"/>
  </r>
  <r>
    <n v="379"/>
    <x v="340"/>
    <x v="365"/>
    <n v="5"/>
    <s v="urgent"/>
    <x v="3"/>
    <x v="1"/>
    <n v="76"/>
    <n v="32.04"/>
    <n v="22.09"/>
    <x v="0"/>
    <n v="95"/>
    <n v="176"/>
    <n v="80"/>
    <n v="67"/>
    <s v="Good"/>
  </r>
  <r>
    <n v="380"/>
    <x v="341"/>
    <x v="366"/>
    <n v="4"/>
    <s v="emergency"/>
    <x v="4"/>
    <x v="0"/>
    <n v="58"/>
    <n v="16.079999999999998"/>
    <n v="7.21"/>
    <x v="0"/>
    <n v="92"/>
    <n v="178"/>
    <n v="105"/>
    <n v="50"/>
    <s v="Moderate"/>
  </r>
  <r>
    <n v="381"/>
    <x v="342"/>
    <x v="367"/>
    <n v="5"/>
    <s v="emergency"/>
    <x v="4"/>
    <x v="0"/>
    <n v="60"/>
    <n v="22.18"/>
    <n v="4"/>
    <x v="0"/>
    <n v="113"/>
    <n v="181"/>
    <n v="75"/>
    <n v="63"/>
    <s v="Good"/>
  </r>
  <r>
    <n v="382"/>
    <x v="343"/>
    <x v="368"/>
    <n v="3"/>
    <s v="emergency"/>
    <x v="4"/>
    <x v="0"/>
    <n v="42"/>
    <n v="16.079999999999998"/>
    <n v="8.08"/>
    <x v="0"/>
    <n v="81"/>
    <n v="177"/>
    <n v="106"/>
    <n v="47"/>
    <s v="Moderate"/>
  </r>
  <r>
    <n v="383"/>
    <x v="344"/>
    <x v="369"/>
    <n v="4"/>
    <s v="emergency"/>
    <x v="4"/>
    <x v="1"/>
    <n v="67"/>
    <n v="36.549999999999997"/>
    <n v="8.1999999999999993"/>
    <x v="0"/>
    <n v="82"/>
    <n v="147"/>
    <n v="49"/>
    <n v="64"/>
    <s v="Good"/>
  </r>
  <r>
    <n v="384"/>
    <x v="345"/>
    <x v="370"/>
    <n v="5"/>
    <s v="elective"/>
    <x v="3"/>
    <x v="1"/>
    <n v="66"/>
    <n v="3.28"/>
    <n v="1.27"/>
    <x v="0"/>
    <n v="63"/>
    <n v="161"/>
    <n v="63"/>
    <n v="70"/>
    <s v="Good"/>
  </r>
  <r>
    <n v="385"/>
    <x v="346"/>
    <x v="371"/>
    <n v="5"/>
    <s v="elective"/>
    <x v="0"/>
    <x v="11"/>
    <n v="69"/>
    <n v="12.49"/>
    <n v="2.42"/>
    <x v="0"/>
    <n v="108"/>
    <n v="179"/>
    <n v="113"/>
    <n v="35"/>
    <s v="Moderate"/>
  </r>
  <r>
    <n v="386"/>
    <x v="347"/>
    <x v="372"/>
    <n v="5"/>
    <s v="emergency"/>
    <x v="0"/>
    <x v="1"/>
    <n v="18"/>
    <n v="26.27"/>
    <n v="6.68"/>
    <x v="0"/>
    <n v="73"/>
    <n v="170"/>
    <n v="105"/>
    <n v="45"/>
    <s v="Moderate"/>
  </r>
  <r>
    <n v="387"/>
    <x v="348"/>
    <x v="373"/>
    <n v="1"/>
    <s v="emergency"/>
    <x v="3"/>
    <x v="2"/>
    <n v="68"/>
    <n v="25.23"/>
    <n v="17.79"/>
    <x v="0"/>
    <n v="90"/>
    <n v="161"/>
    <n v="65"/>
    <n v="62"/>
    <s v="Good"/>
  </r>
  <r>
    <n v="388"/>
    <x v="349"/>
    <x v="374"/>
    <n v="5"/>
    <s v="elective"/>
    <x v="4"/>
    <x v="1"/>
    <n v="75"/>
    <n v="12.4"/>
    <n v="3.76"/>
    <x v="0"/>
    <n v="71"/>
    <n v="165"/>
    <n v="91"/>
    <n v="55"/>
    <s v="Good"/>
  </r>
  <r>
    <n v="389"/>
    <x v="350"/>
    <x v="375"/>
    <n v="3"/>
    <s v="emergency"/>
    <x v="3"/>
    <x v="0"/>
    <n v="68"/>
    <n v="92.24"/>
    <n v="70.790000000000006"/>
    <x v="0"/>
    <n v="62"/>
    <n v="157"/>
    <n v="87"/>
    <n v="39"/>
    <s v="Moderate"/>
  </r>
  <r>
    <n v="391"/>
    <x v="351"/>
    <x v="376"/>
    <n v="3"/>
    <s v="emergency"/>
    <x v="4"/>
    <x v="0"/>
    <n v="59"/>
    <n v="32.159999999999997"/>
    <n v="9.02"/>
    <x v="0"/>
    <n v="73"/>
    <n v="177"/>
    <n v="73"/>
    <n v="56"/>
    <s v="Good"/>
  </r>
  <r>
    <n v="392"/>
    <x v="352"/>
    <x v="377"/>
    <n v="5"/>
    <s v="elective"/>
    <x v="4"/>
    <x v="1"/>
    <n v="80"/>
    <n v="41.07"/>
    <n v="9.76"/>
    <x v="0"/>
    <n v="95"/>
    <n v="156"/>
    <n v="105"/>
    <n v="64"/>
    <s v="Good"/>
  </r>
  <r>
    <n v="393"/>
    <x v="352"/>
    <x v="378"/>
    <n v="4"/>
    <s v="elective"/>
    <x v="4"/>
    <x v="9"/>
    <n v="66"/>
    <n v="7.21"/>
    <n v="1.95"/>
    <x v="0"/>
    <n v="70"/>
    <n v="170"/>
    <n v="85"/>
    <n v="35"/>
    <s v="Moderate"/>
  </r>
  <r>
    <n v="394"/>
    <x v="353"/>
    <x v="379"/>
    <n v="3"/>
    <s v="emergency"/>
    <x v="3"/>
    <x v="1"/>
    <n v="17"/>
    <n v="7.16"/>
    <n v="7.36"/>
    <x v="0"/>
    <n v="95"/>
    <n v="165"/>
    <n v="65"/>
    <n v="55"/>
    <s v="Good"/>
  </r>
  <r>
    <n v="395"/>
    <x v="354"/>
    <x v="380"/>
    <n v="5"/>
    <s v="elective"/>
    <x v="0"/>
    <x v="6"/>
    <n v="80"/>
    <n v="15.36"/>
    <n v="8.24"/>
    <x v="0"/>
    <n v="76"/>
    <n v="180"/>
    <n v="111"/>
    <n v="65"/>
    <s v="Good"/>
  </r>
  <r>
    <n v="396"/>
    <x v="354"/>
    <x v="381"/>
    <n v="4"/>
    <s v="elective"/>
    <x v="0"/>
    <x v="8"/>
    <n v="40"/>
    <n v="2.08"/>
    <n v="0.62"/>
    <x v="0"/>
    <n v="81"/>
    <n v="183"/>
    <n v="68"/>
    <n v="55"/>
    <s v="Good"/>
  </r>
  <r>
    <n v="397"/>
    <x v="355"/>
    <x v="382"/>
    <n v="4"/>
    <s v="urgent"/>
    <x v="2"/>
    <x v="15"/>
    <n v="54"/>
    <n v="2.09"/>
    <n v="2.15"/>
    <x v="0"/>
    <n v="68"/>
    <n v="178"/>
    <n v="78"/>
    <n v="55"/>
    <s v="Good"/>
  </r>
  <r>
    <n v="398"/>
    <x v="356"/>
    <x v="383"/>
    <n v="5"/>
    <s v="elective"/>
    <x v="0"/>
    <x v="12"/>
    <n v="70"/>
    <n v="4.24"/>
    <n v="1.44"/>
    <x v="0"/>
    <n v="97"/>
    <n v="175"/>
    <n v="87"/>
    <n v="71"/>
    <s v="Good"/>
  </r>
  <r>
    <n v="399"/>
    <x v="357"/>
    <x v="384"/>
    <n v="5"/>
    <s v="urgent"/>
    <x v="2"/>
    <x v="3"/>
    <n v="73"/>
    <n v="3.75"/>
    <n v="1.94"/>
    <x v="0"/>
    <n v="73"/>
    <n v="163"/>
    <n v="67"/>
    <n v="70"/>
    <s v="Good"/>
  </r>
  <r>
    <n v="400"/>
    <x v="358"/>
    <x v="385"/>
    <n v="4"/>
    <s v="elective"/>
    <x v="2"/>
    <x v="11"/>
    <n v="73"/>
    <n v="2.21"/>
    <n v="0.97"/>
    <x v="0"/>
    <n v="66"/>
    <n v="167"/>
    <n v="50"/>
    <n v="65"/>
    <s v="Good"/>
  </r>
  <r>
    <n v="401"/>
    <x v="359"/>
    <x v="386"/>
    <n v="5"/>
    <s v="urgent"/>
    <x v="0"/>
    <x v="9"/>
    <n v="45"/>
    <n v="2.08"/>
    <n v="0.86"/>
    <x v="0"/>
    <n v="67"/>
    <n v="178"/>
    <n v="85"/>
    <n v="55"/>
    <s v="Good"/>
  </r>
  <r>
    <n v="402"/>
    <x v="360"/>
    <x v="387"/>
    <n v="2"/>
    <s v="emergency"/>
    <x v="1"/>
    <x v="0"/>
    <n v="63"/>
    <n v="3.91"/>
    <n v="2.84"/>
    <x v="0"/>
    <n v="74"/>
    <n v="176"/>
    <n v="70"/>
    <n v="52"/>
    <s v="Good"/>
  </r>
  <r>
    <n v="403"/>
    <x v="361"/>
    <x v="388"/>
    <n v="5"/>
    <s v="urgent"/>
    <x v="0"/>
    <x v="1"/>
    <n v="19"/>
    <n v="4.37"/>
    <n v="5.0599999999999996"/>
    <x v="0"/>
    <n v="96"/>
    <n v="164"/>
    <n v="60"/>
    <n v="55"/>
    <s v="Good"/>
  </r>
  <r>
    <n v="404"/>
    <x v="362"/>
    <x v="389"/>
    <n v="4"/>
    <s v="elective"/>
    <x v="2"/>
    <x v="15"/>
    <n v="73"/>
    <n v="2.21"/>
    <n v="0.81"/>
    <x v="0"/>
    <n v="92"/>
    <n v="171"/>
    <n v="84"/>
    <n v="55"/>
    <s v="Good"/>
  </r>
  <r>
    <n v="405"/>
    <x v="363"/>
    <x v="390"/>
    <n v="5"/>
    <s v="elective"/>
    <x v="2"/>
    <x v="4"/>
    <n v="78"/>
    <n v="13.14"/>
    <n v="4.95"/>
    <x v="0"/>
    <n v="134"/>
    <n v="191"/>
    <n v="99"/>
    <n v="39"/>
    <s v="Poor"/>
  </r>
  <r>
    <n v="406"/>
    <x v="364"/>
    <x v="391"/>
    <n v="4"/>
    <s v="elective"/>
    <x v="3"/>
    <x v="3"/>
    <n v="80"/>
    <n v="5.83"/>
    <n v="4.96"/>
    <x v="0"/>
    <n v="83"/>
    <n v="180"/>
    <n v="65"/>
    <n v="60"/>
    <s v="Good"/>
  </r>
  <r>
    <n v="407"/>
    <x v="365"/>
    <x v="392"/>
    <n v="4"/>
    <s v="elective"/>
    <x v="0"/>
    <x v="8"/>
    <n v="72"/>
    <n v="4.8099999999999996"/>
    <n v="0.88"/>
    <x v="0"/>
    <n v="66"/>
    <n v="161"/>
    <n v="80"/>
    <n v="55"/>
    <s v="Good"/>
  </r>
  <r>
    <n v="408"/>
    <x v="366"/>
    <x v="393"/>
    <n v="4"/>
    <s v="elective"/>
    <x v="0"/>
    <x v="12"/>
    <n v="61"/>
    <n v="7.73"/>
    <n v="1.93"/>
    <x v="0"/>
    <n v="92"/>
    <n v="182"/>
    <n v="78"/>
    <n v="55"/>
    <s v="Good"/>
  </r>
  <r>
    <n v="409"/>
    <x v="367"/>
    <x v="394"/>
    <n v="4"/>
    <s v="elective"/>
    <x v="0"/>
    <x v="8"/>
    <n v="69"/>
    <n v="6.9"/>
    <n v="1.42"/>
    <x v="0"/>
    <n v="81"/>
    <n v="168"/>
    <n v="96"/>
    <n v="68"/>
    <s v="Good"/>
  </r>
  <r>
    <n v="410"/>
    <x v="368"/>
    <x v="395"/>
    <n v="4"/>
    <s v="emergency"/>
    <x v="2"/>
    <x v="1"/>
    <n v="65"/>
    <n v="2.63"/>
    <n v="1.1599999999999999"/>
    <x v="0"/>
    <n v="91"/>
    <n v="170"/>
    <n v="66"/>
    <n v="25"/>
    <s v="Poor"/>
  </r>
  <r>
    <n v="411"/>
    <x v="369"/>
    <x v="396"/>
    <n v="5"/>
    <s v="elective"/>
    <x v="2"/>
    <x v="4"/>
    <n v="58"/>
    <n v="1.22"/>
    <n v="0.62"/>
    <x v="0"/>
    <n v="85"/>
    <n v="163"/>
    <n v="63"/>
    <n v="55"/>
    <s v="Good"/>
  </r>
  <r>
    <n v="412"/>
    <x v="370"/>
    <x v="397"/>
    <n v="5"/>
    <s v="emergency"/>
    <x v="4"/>
    <x v="1"/>
    <n v="64"/>
    <n v="12.18"/>
    <n v="3.65"/>
    <x v="0"/>
    <n v="65"/>
    <n v="153"/>
    <n v="68"/>
    <n v="45"/>
    <s v="Moderate"/>
  </r>
  <r>
    <n v="413"/>
    <x v="371"/>
    <x v="398"/>
    <n v="4"/>
    <s v="emergency"/>
    <x v="3"/>
    <x v="15"/>
    <n v="82"/>
    <n v="79.03"/>
    <n v="30.65"/>
    <x v="0"/>
    <n v="94"/>
    <n v="184"/>
    <n v="84"/>
    <n v="55"/>
    <s v="Good"/>
  </r>
  <r>
    <n v="414"/>
    <x v="372"/>
    <x v="399"/>
    <n v="5"/>
    <s v="elective"/>
    <x v="3"/>
    <x v="1"/>
    <n v="62"/>
    <n v="1.83"/>
    <n v="1.38"/>
    <x v="0"/>
    <n v="91"/>
    <n v="152"/>
    <n v="81"/>
    <n v="72"/>
    <s v="Good"/>
  </r>
  <r>
    <n v="415"/>
    <x v="373"/>
    <x v="400"/>
    <n v="4"/>
    <s v="urgent"/>
    <x v="2"/>
    <x v="6"/>
    <n v="67"/>
    <n v="2.42"/>
    <n v="1.1200000000000001"/>
    <x v="0"/>
    <n v="83"/>
    <n v="187"/>
    <n v="87"/>
    <n v="67"/>
    <s v="Good"/>
  </r>
  <r>
    <n v="416"/>
    <x v="374"/>
    <x v="401"/>
    <n v="5"/>
    <s v="elective"/>
    <x v="2"/>
    <x v="1"/>
    <n v="67"/>
    <n v="2.42"/>
    <n v="1"/>
    <x v="0"/>
    <n v="61"/>
    <n v="169"/>
    <n v="106"/>
    <n v="37"/>
    <s v="Moderate"/>
  </r>
  <r>
    <n v="417"/>
    <x v="374"/>
    <x v="402"/>
    <n v="4"/>
    <s v="elective"/>
    <x v="0"/>
    <x v="8"/>
    <n v="55"/>
    <n v="2.08"/>
    <n v="0.62"/>
    <x v="0"/>
    <n v="80"/>
    <n v="167"/>
    <n v="76"/>
    <n v="60"/>
    <s v="Good"/>
  </r>
  <r>
    <n v="418"/>
    <x v="375"/>
    <x v="403"/>
    <n v="4"/>
    <s v="urgent"/>
    <x v="0"/>
    <x v="12"/>
    <n v="49"/>
    <n v="32.14"/>
    <n v="11.95"/>
    <x v="0"/>
    <n v="92"/>
    <n v="189"/>
    <n v="92"/>
    <n v="50"/>
    <s v="Moderate"/>
  </r>
  <r>
    <n v="419"/>
    <x v="376"/>
    <x v="404"/>
    <n v="5"/>
    <s v="elective"/>
    <x v="3"/>
    <x v="4"/>
    <n v="60"/>
    <n v="2.42"/>
    <n v="1.58"/>
    <x v="0"/>
    <n v="75"/>
    <n v="175"/>
    <n v="109"/>
    <n v="60"/>
    <s v="Good"/>
  </r>
  <r>
    <n v="420"/>
    <x v="377"/>
    <x v="405"/>
    <n v="5"/>
    <s v="elective"/>
    <x v="3"/>
    <x v="11"/>
    <n v="78"/>
    <n v="5.14"/>
    <n v="2.58"/>
    <x v="0"/>
    <n v="77"/>
    <n v="172"/>
    <n v="112"/>
    <n v="55"/>
    <s v="Good"/>
  </r>
  <r>
    <n v="421"/>
    <x v="378"/>
    <x v="406"/>
    <n v="5"/>
    <s v="urgent"/>
    <x v="3"/>
    <x v="12"/>
    <n v="53"/>
    <n v="6.17"/>
    <n v="1.84"/>
    <x v="0"/>
    <n v="123"/>
    <n v="175"/>
    <n v="102"/>
    <n v="66"/>
    <s v="Good"/>
  </r>
  <r>
    <n v="422"/>
    <x v="379"/>
    <x v="407"/>
    <n v="4"/>
    <s v="elective"/>
    <x v="3"/>
    <x v="12"/>
    <n v="82"/>
    <n v="32.090000000000003"/>
    <n v="11.99"/>
    <x v="0"/>
    <n v="121"/>
    <n v="172"/>
    <n v="81"/>
    <n v="46"/>
    <s v="Moderate"/>
  </r>
  <r>
    <n v="423"/>
    <x v="380"/>
    <x v="408"/>
    <n v="4"/>
    <s v="elective"/>
    <x v="0"/>
    <x v="8"/>
    <n v="76"/>
    <n v="4.53"/>
    <n v="2.0499999999999998"/>
    <x v="0"/>
    <n v="66"/>
    <n v="165"/>
    <n v="88"/>
    <n v="55"/>
    <s v="Good"/>
  </r>
  <r>
    <n v="424"/>
    <x v="381"/>
    <x v="409"/>
    <n v="5"/>
    <s v="urgent"/>
    <x v="2"/>
    <x v="4"/>
    <n v="58"/>
    <n v="7.32"/>
    <n v="3.51"/>
    <x v="0"/>
    <n v="75"/>
    <n v="166"/>
    <n v="68"/>
    <n v="68"/>
    <s v="Good"/>
  </r>
  <r>
    <n v="425"/>
    <x v="382"/>
    <x v="410"/>
    <n v="1"/>
    <s v="emergency"/>
    <x v="1"/>
    <x v="11"/>
    <n v="55"/>
    <n v="4.16"/>
    <n v="3.58"/>
    <x v="0"/>
    <n v="89"/>
    <n v="162"/>
    <n v="77"/>
    <n v="40"/>
    <s v="Moderate"/>
  </r>
  <r>
    <n v="426"/>
    <x v="383"/>
    <x v="411"/>
    <n v="4"/>
    <s v="urgent"/>
    <x v="2"/>
    <x v="7"/>
    <n v="69"/>
    <n v="4.76"/>
    <n v="2.31"/>
    <x v="0"/>
    <n v="83"/>
    <n v="180"/>
    <n v="91"/>
    <n v="41"/>
    <s v="Moderate"/>
  </r>
  <r>
    <n v="427"/>
    <x v="384"/>
    <x v="412"/>
    <n v="5"/>
    <s v="elective"/>
    <x v="0"/>
    <x v="2"/>
    <n v="57"/>
    <n v="2.08"/>
    <n v="1.62"/>
    <x v="0"/>
    <n v="110"/>
    <n v="155"/>
    <n v="66"/>
    <n v="68"/>
    <s v="Good"/>
  </r>
  <r>
    <n v="428"/>
    <x v="385"/>
    <x v="413"/>
    <n v="4"/>
    <s v="urgent"/>
    <x v="3"/>
    <x v="1"/>
    <n v="56"/>
    <n v="2.57"/>
    <n v="1.37"/>
    <x v="0"/>
    <n v="86"/>
    <n v="166"/>
    <n v="87"/>
    <n v="40"/>
    <s v="Moderate"/>
  </r>
  <r>
    <n v="429"/>
    <x v="386"/>
    <x v="414"/>
    <n v="5"/>
    <s v="elective"/>
    <x v="3"/>
    <x v="3"/>
    <n v="73"/>
    <n v="5.98"/>
    <n v="2.2400000000000002"/>
    <x v="0"/>
    <n v="65"/>
    <n v="172"/>
    <n v="86"/>
    <n v="55"/>
    <s v="Good"/>
  </r>
  <r>
    <n v="430"/>
    <x v="386"/>
    <x v="415"/>
    <n v="4"/>
    <s v="elective"/>
    <x v="2"/>
    <x v="1"/>
    <n v="63"/>
    <n v="1.73"/>
    <n v="1.06"/>
    <x v="0"/>
    <n v="95"/>
    <n v="176"/>
    <n v="88"/>
    <n v="60"/>
    <s v="Good"/>
  </r>
  <r>
    <n v="431"/>
    <x v="387"/>
    <x v="416"/>
    <n v="3"/>
    <s v="elective"/>
    <x v="0"/>
    <x v="6"/>
    <n v="79"/>
    <n v="7.46"/>
    <n v="1.07"/>
    <x v="0"/>
    <n v="72"/>
    <n v="147"/>
    <n v="62"/>
    <n v="46"/>
    <s v="Moderate"/>
  </r>
  <r>
    <n v="432"/>
    <x v="388"/>
    <x v="417"/>
    <n v="1"/>
    <s v="emergency"/>
    <x v="1"/>
    <x v="6"/>
    <n v="61"/>
    <n v="7.01"/>
    <n v="4.9800000000000004"/>
    <x v="0"/>
    <n v="95"/>
    <n v="160"/>
    <n v="90"/>
    <n v="80"/>
    <s v="Good"/>
  </r>
  <r>
    <n v="433"/>
    <x v="389"/>
    <x v="418"/>
    <n v="5"/>
    <s v="urgent"/>
    <x v="2"/>
    <x v="11"/>
    <n v="67"/>
    <n v="6.08"/>
    <n v="3.15"/>
    <x v="0"/>
    <n v="70"/>
    <n v="178"/>
    <n v="80"/>
    <n v="60"/>
    <s v="Good"/>
  </r>
  <r>
    <n v="434"/>
    <x v="390"/>
    <x v="419"/>
    <n v="5"/>
    <s v="elective"/>
    <x v="2"/>
    <x v="0"/>
    <n v="77"/>
    <n v="7.33"/>
    <n v="2.56"/>
    <x v="0"/>
    <n v="73"/>
    <n v="180"/>
    <n v="93"/>
    <n v="65"/>
    <s v="Good"/>
  </r>
  <r>
    <n v="435"/>
    <x v="391"/>
    <x v="420"/>
    <n v="4"/>
    <s v="urgent"/>
    <x v="1"/>
    <x v="6"/>
    <n v="71"/>
    <n v="11.8"/>
    <n v="5.58"/>
    <x v="1"/>
    <n v="70"/>
    <n v="185"/>
    <n v="101"/>
    <n v="62"/>
    <s v="Good"/>
  </r>
  <r>
    <n v="436"/>
    <x v="392"/>
    <x v="421"/>
    <n v="5"/>
    <s v="urgent"/>
    <x v="3"/>
    <x v="3"/>
    <n v="71"/>
    <n v="3.29"/>
    <n v="1.61"/>
    <x v="0"/>
    <n v="93"/>
    <n v="174"/>
    <n v="78"/>
    <n v="60"/>
    <s v="Good"/>
  </r>
  <r>
    <n v="437"/>
    <x v="393"/>
    <x v="422"/>
    <n v="6"/>
    <s v="elective"/>
    <x v="2"/>
    <x v="6"/>
    <n v="76"/>
    <n v="5.05"/>
    <n v="1.49"/>
    <x v="0"/>
    <n v="91"/>
    <n v="166"/>
    <n v="78"/>
    <n v="60"/>
    <s v="Good"/>
  </r>
  <r>
    <n v="438"/>
    <x v="394"/>
    <x v="423"/>
    <n v="5"/>
    <s v="elective"/>
    <x v="2"/>
    <x v="4"/>
    <n v="77"/>
    <n v="4.29"/>
    <n v="1.49"/>
    <x v="0"/>
    <n v="78"/>
    <n v="169"/>
    <n v="82"/>
    <n v="45"/>
    <s v="Moderate"/>
  </r>
  <r>
    <n v="439"/>
    <x v="395"/>
    <x v="423"/>
    <n v="4"/>
    <s v="urgent"/>
    <x v="0"/>
    <x v="16"/>
    <n v="57"/>
    <n v="3.54"/>
    <n v="1.26"/>
    <x v="0"/>
    <n v="110"/>
    <n v="157"/>
    <n v="64"/>
    <n v="65"/>
    <s v="Good"/>
  </r>
  <r>
    <n v="440"/>
    <x v="396"/>
    <x v="424"/>
    <n v="5"/>
    <s v="elective"/>
    <x v="0"/>
    <x v="4"/>
    <n v="65"/>
    <n v="5.76"/>
    <n v="1.64"/>
    <x v="0"/>
    <n v="83"/>
    <n v="158"/>
    <n v="48"/>
    <n v="65"/>
    <s v="Good"/>
  </r>
  <r>
    <n v="441"/>
    <x v="396"/>
    <x v="425"/>
    <n v="4"/>
    <s v="elective"/>
    <x v="0"/>
    <x v="16"/>
    <n v="45"/>
    <n v="1.51"/>
    <n v="0.5"/>
    <x v="0"/>
    <n v="61"/>
    <n v="184"/>
    <n v="111"/>
    <n v="29"/>
    <s v="Poor"/>
  </r>
  <r>
    <n v="442"/>
    <x v="397"/>
    <x v="426"/>
    <n v="5"/>
    <s v="elective"/>
    <x v="2"/>
    <x v="11"/>
    <n v="63"/>
    <n v="1.1499999999999999"/>
    <n v="0.61"/>
    <x v="0"/>
    <n v="91"/>
    <n v="157"/>
    <n v="51"/>
    <n v="55"/>
    <s v="Good"/>
  </r>
  <r>
    <n v="443"/>
    <x v="398"/>
    <x v="427"/>
    <n v="6"/>
    <s v="urgent"/>
    <x v="2"/>
    <x v="11"/>
    <n v="71"/>
    <n v="1.94"/>
    <n v="1.41"/>
    <x v="0"/>
    <n v="62"/>
    <n v="166"/>
    <n v="72"/>
    <n v="65"/>
    <s v="Good"/>
  </r>
  <r>
    <n v="444"/>
    <x v="399"/>
    <x v="428"/>
    <n v="5"/>
    <s v="urgent"/>
    <x v="2"/>
    <x v="12"/>
    <n v="80"/>
    <n v="13.41"/>
    <n v="3.44"/>
    <x v="0"/>
    <n v="61"/>
    <n v="150"/>
    <n v="76"/>
    <n v="54"/>
    <s v="Good"/>
  </r>
  <r>
    <n v="445"/>
    <x v="400"/>
    <x v="429"/>
    <n v="4"/>
    <s v="elective"/>
    <x v="3"/>
    <x v="1"/>
    <n v="75"/>
    <n v="5.82"/>
    <n v="1.64"/>
    <x v="0"/>
    <n v="66"/>
    <n v="172"/>
    <n v="79"/>
    <n v="40"/>
    <s v="Moderate"/>
  </r>
  <r>
    <n v="446"/>
    <x v="401"/>
    <x v="430"/>
    <n v="5"/>
    <s v="urgent"/>
    <x v="0"/>
    <x v="12"/>
    <n v="84"/>
    <n v="65.349999999999994"/>
    <n v="52.94"/>
    <x v="0"/>
    <n v="84"/>
    <n v="182"/>
    <n v="96"/>
    <n v="55"/>
    <s v="Good"/>
  </r>
  <r>
    <n v="447"/>
    <x v="402"/>
    <x v="431"/>
    <n v="4"/>
    <s v="elective"/>
    <x v="1"/>
    <x v="1"/>
    <n v="50"/>
    <n v="2.08"/>
    <n v="1.07"/>
    <x v="0"/>
    <n v="76"/>
    <n v="177"/>
    <n v="72"/>
    <n v="35"/>
    <s v="Moderate"/>
  </r>
  <r>
    <n v="448"/>
    <x v="403"/>
    <x v="432"/>
    <n v="4"/>
    <s v="urgent"/>
    <x v="2"/>
    <x v="0"/>
    <n v="68"/>
    <n v="23.62"/>
    <n v="11.13"/>
    <x v="0"/>
    <n v="93"/>
    <n v="161"/>
    <n v="64"/>
    <n v="68"/>
    <s v="Good"/>
  </r>
  <r>
    <n v="449"/>
    <x v="404"/>
    <x v="433"/>
    <n v="5"/>
    <s v="elective"/>
    <x v="0"/>
    <x v="7"/>
    <n v="68"/>
    <n v="7.68"/>
    <n v="2.37"/>
    <x v="0"/>
    <n v="109"/>
    <n v="180"/>
    <n v="100"/>
    <n v="40"/>
    <s v="Moderate"/>
  </r>
  <r>
    <n v="450"/>
    <x v="405"/>
    <x v="434"/>
    <n v="4"/>
    <s v="elective"/>
    <x v="2"/>
    <x v="0"/>
    <n v="65"/>
    <n v="2.2400000000000002"/>
    <n v="0.9"/>
    <x v="0"/>
    <n v="71"/>
    <n v="166"/>
    <n v="90"/>
    <n v="58"/>
    <s v="Good"/>
  </r>
  <r>
    <n v="451"/>
    <x v="406"/>
    <x v="435"/>
    <n v="5"/>
    <s v="urgent"/>
    <x v="2"/>
    <x v="7"/>
    <n v="77"/>
    <n v="9.73"/>
    <n v="6.63"/>
    <x v="0"/>
    <n v="79"/>
    <n v="170"/>
    <n v="92"/>
    <n v="75"/>
    <s v="Good"/>
  </r>
  <r>
    <n v="452"/>
    <x v="407"/>
    <x v="436"/>
    <n v="3"/>
    <s v="emergency"/>
    <x v="5"/>
    <x v="2"/>
    <n v="88"/>
    <n v="14.84"/>
    <n v="2.74"/>
    <x v="0"/>
    <n v="63"/>
    <n v="167"/>
    <n v="55"/>
    <n v="62"/>
    <s v="Good"/>
  </r>
  <r>
    <n v="453"/>
    <x v="408"/>
    <x v="437"/>
    <n v="4"/>
    <s v="urgent"/>
    <x v="0"/>
    <x v="8"/>
    <n v="82"/>
    <n v="6.61"/>
    <n v="1.28"/>
    <x v="0"/>
    <n v="74"/>
    <n v="168"/>
    <n v="122"/>
    <n v="55"/>
    <s v="Good"/>
  </r>
  <r>
    <n v="454"/>
    <x v="384"/>
    <x v="438"/>
    <n v="5"/>
    <s v="urgent"/>
    <x v="0"/>
    <x v="2"/>
    <n v="57"/>
    <n v="8.67"/>
    <n v="3.43"/>
    <x v="0"/>
    <n v="68"/>
    <n v="178"/>
    <n v="123"/>
    <n v="55"/>
    <s v="Good"/>
  </r>
  <r>
    <n v="455"/>
    <x v="409"/>
    <x v="439"/>
    <n v="5"/>
    <s v="emergency"/>
    <x v="0"/>
    <x v="2"/>
    <n v="79"/>
    <n v="70.7"/>
    <n v="15.51"/>
    <x v="0"/>
    <n v="67"/>
    <n v="163"/>
    <n v="74"/>
    <n v="55"/>
    <s v="Good"/>
  </r>
  <r>
    <n v="456"/>
    <x v="410"/>
    <x v="440"/>
    <n v="4"/>
    <s v="elective"/>
    <x v="0"/>
    <x v="8"/>
    <n v="55"/>
    <n v="1.51"/>
    <n v="0.5"/>
    <x v="0"/>
    <n v="156"/>
    <n v="175"/>
    <n v="66"/>
    <n v="75"/>
    <s v="Good"/>
  </r>
  <r>
    <n v="457"/>
    <x v="411"/>
    <x v="441"/>
    <n v="4"/>
    <s v="urgent"/>
    <x v="0"/>
    <x v="12"/>
    <n v="81"/>
    <n v="8.44"/>
    <n v="5.96"/>
    <x v="0"/>
    <n v="190"/>
    <n v="165"/>
    <n v="108"/>
    <n v="40"/>
    <s v="Moderate"/>
  </r>
  <r>
    <n v="458"/>
    <x v="412"/>
    <x v="442"/>
    <n v="5"/>
    <s v="urgent"/>
    <x v="3"/>
    <x v="3"/>
    <n v="65"/>
    <n v="10.52"/>
    <n v="4.62"/>
    <x v="0"/>
    <n v="85"/>
    <n v="155"/>
    <n v="56"/>
    <n v="70"/>
    <s v="Good"/>
  </r>
  <r>
    <n v="459"/>
    <x v="413"/>
    <x v="443"/>
    <n v="3"/>
    <s v="elective"/>
    <x v="3"/>
    <x v="16"/>
    <n v="71"/>
    <n v="4.92"/>
    <n v="1.78"/>
    <x v="0"/>
    <n v="75"/>
    <n v="174"/>
    <n v="81"/>
    <n v="58"/>
    <s v="Good"/>
  </r>
  <r>
    <n v="460"/>
    <x v="414"/>
    <x v="444"/>
    <n v="4"/>
    <s v="urgent"/>
    <x v="3"/>
    <x v="6"/>
    <n v="81"/>
    <n v="14.81"/>
    <n v="6.25"/>
    <x v="0"/>
    <n v="68"/>
    <n v="167"/>
    <n v="63"/>
    <n v="50"/>
    <s v="Moderate"/>
  </r>
  <r>
    <n v="461"/>
    <x v="413"/>
    <x v="445"/>
    <n v="5"/>
    <s v="elective"/>
    <x v="4"/>
    <x v="3"/>
    <n v="74"/>
    <n v="15.56"/>
    <n v="3.01"/>
    <x v="0"/>
    <n v="72"/>
    <n v="167"/>
    <n v="88"/>
    <n v="38"/>
    <s v="Moderate"/>
  </r>
  <r>
    <n v="462"/>
    <x v="415"/>
    <x v="446"/>
    <n v="3"/>
    <s v="urgent"/>
    <x v="0"/>
    <x v="11"/>
    <n v="63"/>
    <n v="1.96"/>
    <n v="1"/>
    <x v="0"/>
    <n v="65"/>
    <n v="170"/>
    <n v="69"/>
    <n v="49"/>
    <s v="Moderate"/>
  </r>
  <r>
    <n v="463"/>
    <x v="416"/>
    <x v="447"/>
    <n v="4"/>
    <s v="elective"/>
    <x v="0"/>
    <x v="8"/>
    <n v="52"/>
    <n v="1.51"/>
    <n v="0.86"/>
    <x v="0"/>
    <n v="93"/>
    <n v="152"/>
    <n v="63"/>
    <n v="57"/>
    <s v="Good"/>
  </r>
  <r>
    <n v="464"/>
    <x v="417"/>
    <x v="448"/>
    <n v="5"/>
    <s v="elective"/>
    <x v="2"/>
    <x v="4"/>
    <n v="79"/>
    <n v="3.26"/>
    <n v="1.1499999999999999"/>
    <x v="0"/>
    <n v="72"/>
    <n v="185"/>
    <n v="102"/>
    <n v="60"/>
    <s v="Good"/>
  </r>
  <r>
    <n v="465"/>
    <x v="417"/>
    <x v="449"/>
    <n v="3"/>
    <s v="elective"/>
    <x v="2"/>
    <x v="11"/>
    <n v="73"/>
    <n v="2.21"/>
    <n v="0.97"/>
    <x v="0"/>
    <n v="73"/>
    <n v="170"/>
    <n v="120"/>
    <n v="40"/>
    <s v="Moderate"/>
  </r>
  <r>
    <n v="466"/>
    <x v="417"/>
    <x v="450"/>
    <n v="4"/>
    <s v="elective"/>
    <x v="0"/>
    <x v="8"/>
    <n v="44"/>
    <n v="2.08"/>
    <n v="0.62"/>
    <x v="2"/>
    <n v="71"/>
    <n v="172"/>
    <n v="57"/>
    <n v="65"/>
    <s v="Good"/>
  </r>
  <r>
    <n v="467"/>
    <x v="417"/>
    <x v="451"/>
    <n v="5"/>
    <s v="elective"/>
    <x v="3"/>
    <x v="4"/>
    <n v="83"/>
    <n v="9.52"/>
    <n v="3.67"/>
    <x v="0"/>
    <n v="88"/>
    <n v="153"/>
    <n v="59"/>
    <n v="73"/>
    <s v="Good"/>
  </r>
  <r>
    <n v="468"/>
    <x v="413"/>
    <x v="452"/>
    <n v="4"/>
    <s v="elective"/>
    <x v="0"/>
    <x v="16"/>
    <n v="69"/>
    <n v="3.98"/>
    <n v="0.9"/>
    <x v="0"/>
    <n v="74"/>
    <n v="162"/>
    <n v="62"/>
    <n v="57"/>
    <s v="Good"/>
  </r>
  <r>
    <n v="469"/>
    <x v="418"/>
    <x v="453"/>
    <n v="3"/>
    <s v="elective"/>
    <x v="3"/>
    <x v="2"/>
    <n v="75"/>
    <n v="6.78"/>
    <n v="2.12"/>
    <x v="0"/>
    <n v="125"/>
    <n v="171"/>
    <n v="119"/>
    <n v="55"/>
    <s v="Good"/>
  </r>
  <r>
    <n v="470"/>
    <x v="419"/>
    <x v="454"/>
    <n v="4"/>
    <s v="urgent"/>
    <x v="2"/>
    <x v="16"/>
    <n v="67"/>
    <n v="16.2"/>
    <n v="8.35"/>
    <x v="0"/>
    <n v="105"/>
    <n v="177"/>
    <n v="87"/>
    <n v="65"/>
    <s v="Good"/>
  </r>
  <r>
    <n v="471"/>
    <x v="420"/>
    <x v="455"/>
    <n v="6"/>
    <s v="elective"/>
    <x v="0"/>
    <x v="2"/>
    <n v="61"/>
    <n v="2.37"/>
    <n v="1.1200000000000001"/>
    <x v="0"/>
    <n v="107"/>
    <n v="174"/>
    <n v="75"/>
    <n v="60"/>
    <s v="Good"/>
  </r>
  <r>
    <n v="472"/>
    <x v="421"/>
    <x v="456"/>
    <n v="4"/>
    <s v="elective"/>
    <x v="0"/>
    <x v="1"/>
    <n v="52"/>
    <n v="1.51"/>
    <n v="0.56000000000000005"/>
    <x v="0"/>
    <n v="112"/>
    <n v="175"/>
    <n v="70"/>
    <n v="51"/>
    <s v="Good"/>
  </r>
  <r>
    <n v="473"/>
    <x v="422"/>
    <x v="457"/>
    <n v="5"/>
    <s v="elective"/>
    <x v="1"/>
    <x v="12"/>
    <n v="78"/>
    <n v="20.64"/>
    <n v="9.07"/>
    <x v="0"/>
    <n v="81"/>
    <n v="173"/>
    <n v="70"/>
    <n v="19"/>
    <s v="Very Poor"/>
  </r>
  <r>
    <n v="474"/>
    <x v="421"/>
    <x v="458"/>
    <n v="4"/>
    <s v="elective"/>
    <x v="2"/>
    <x v="1"/>
    <n v="58"/>
    <n v="1.33"/>
    <n v="2.0099999999999998"/>
    <x v="0"/>
    <n v="86"/>
    <n v="165"/>
    <n v="58"/>
    <n v="65"/>
    <s v="Good"/>
  </r>
  <r>
    <n v="475"/>
    <x v="421"/>
    <x v="459"/>
    <n v="3"/>
    <s v="elective"/>
    <x v="0"/>
    <x v="12"/>
    <n v="88"/>
    <n v="12.81"/>
    <n v="4.46"/>
    <x v="0"/>
    <n v="116"/>
    <n v="173"/>
    <n v="85"/>
    <n v="66"/>
    <s v="Good"/>
  </r>
  <r>
    <n v="476"/>
    <x v="423"/>
    <x v="460"/>
    <n v="4"/>
    <s v="elective"/>
    <x v="4"/>
    <x v="1"/>
    <n v="52"/>
    <n v="6.35"/>
    <n v="1.19"/>
    <x v="0"/>
    <n v="97"/>
    <n v="169"/>
    <n v="101"/>
    <n v="58"/>
    <s v="Good"/>
  </r>
  <r>
    <n v="477"/>
    <x v="423"/>
    <x v="461"/>
    <n v="3"/>
    <s v="elective"/>
    <x v="0"/>
    <x v="8"/>
    <n v="65"/>
    <n v="4.5999999999999996"/>
    <n v="1.0900000000000001"/>
    <x v="0"/>
    <n v="89"/>
    <n v="170"/>
    <n v="123"/>
    <n v="60"/>
    <s v="Good"/>
  </r>
  <r>
    <n v="478"/>
    <x v="423"/>
    <x v="462"/>
    <n v="3"/>
    <s v="elective"/>
    <x v="0"/>
    <x v="8"/>
    <n v="60"/>
    <n v="4.6500000000000004"/>
    <n v="1.77"/>
    <x v="0"/>
    <n v="81"/>
    <n v="173"/>
    <n v="85"/>
    <n v="39"/>
    <s v="Moderate"/>
  </r>
  <r>
    <n v="479"/>
    <x v="423"/>
    <x v="463"/>
    <n v="4"/>
    <s v="elective"/>
    <x v="0"/>
    <x v="1"/>
    <n v="40"/>
    <n v="1.51"/>
    <n v="0.5"/>
    <x v="0"/>
    <n v="97"/>
    <n v="175"/>
    <n v="76"/>
    <n v="50"/>
    <s v="Moderate"/>
  </r>
  <r>
    <n v="480"/>
    <x v="424"/>
    <x v="464"/>
    <n v="4"/>
    <s v="urgent"/>
    <x v="2"/>
    <x v="16"/>
    <n v="72"/>
    <n v="2.0699999999999998"/>
    <n v="0.97"/>
    <x v="0"/>
    <n v="71"/>
    <n v="160"/>
    <n v="60"/>
    <n v="60"/>
    <s v="Good"/>
  </r>
  <r>
    <n v="481"/>
    <x v="425"/>
    <x v="465"/>
    <n v="4"/>
    <s v="elective"/>
    <x v="0"/>
    <x v="16"/>
    <n v="69"/>
    <n v="2.89"/>
    <n v="0.65"/>
    <x v="0"/>
    <n v="78"/>
    <n v="173"/>
    <n v="76"/>
    <n v="45"/>
    <s v="Moderate"/>
  </r>
  <r>
    <n v="482"/>
    <x v="426"/>
    <x v="466"/>
    <n v="1"/>
    <s v="emergency"/>
    <x v="4"/>
    <x v="15"/>
    <n v="61"/>
    <n v="13.65"/>
    <n v="5.54"/>
    <x v="0"/>
    <n v="88"/>
    <n v="167"/>
    <n v="70"/>
    <n v="50"/>
    <s v="Moderate"/>
  </r>
  <r>
    <n v="483"/>
    <x v="427"/>
    <x v="467"/>
    <n v="3"/>
    <s v="urgent"/>
    <x v="2"/>
    <x v="4"/>
    <n v="69"/>
    <n v="2.76"/>
    <n v="1.48"/>
    <x v="0"/>
    <n v="74"/>
    <n v="160"/>
    <n v="73"/>
    <n v="45"/>
    <s v="Moderate"/>
  </r>
  <r>
    <n v="484"/>
    <x v="428"/>
    <x v="468"/>
    <n v="4"/>
    <s v="elective"/>
    <x v="0"/>
    <x v="6"/>
    <n v="76"/>
    <n v="4.53"/>
    <n v="0.88"/>
    <x v="0"/>
    <n v="66"/>
    <n v="177"/>
    <n v="86"/>
    <n v="59"/>
    <s v="Good"/>
  </r>
  <r>
    <n v="485"/>
    <x v="429"/>
    <x v="469"/>
    <n v="3"/>
    <s v="elective"/>
    <x v="4"/>
    <x v="4"/>
    <n v="61"/>
    <n v="14.03"/>
    <n v="5.14"/>
    <x v="0"/>
    <n v="75"/>
    <n v="171"/>
    <n v="89"/>
    <n v="50"/>
    <s v="Moderate"/>
  </r>
  <r>
    <n v="486"/>
    <x v="430"/>
    <x v="470"/>
    <n v="3"/>
    <s v="urgent"/>
    <x v="2"/>
    <x v="4"/>
    <n v="80"/>
    <n v="15.41"/>
    <n v="14.72"/>
    <x v="0"/>
    <n v="86"/>
    <n v="174"/>
    <n v="128"/>
    <n v="35"/>
    <s v="Moderate"/>
  </r>
  <r>
    <n v="487"/>
    <x v="431"/>
    <x v="471"/>
    <n v="5"/>
    <s v="elective"/>
    <x v="0"/>
    <x v="2"/>
    <n v="68"/>
    <n v="5.56"/>
    <n v="4.74"/>
    <x v="0"/>
    <n v="88"/>
    <n v="164"/>
    <n v="73"/>
    <n v="50"/>
    <s v="Moderate"/>
  </r>
  <r>
    <n v="488"/>
    <x v="432"/>
    <x v="472"/>
    <n v="4"/>
    <s v="elective"/>
    <x v="0"/>
    <x v="8"/>
    <n v="76"/>
    <n v="6.73"/>
    <n v="2.4700000000000002"/>
    <x v="0"/>
    <n v="93"/>
    <n v="166"/>
    <n v="84"/>
    <n v="28"/>
    <s v="Poor"/>
  </r>
  <r>
    <n v="489"/>
    <x v="433"/>
    <x v="473"/>
    <n v="3"/>
    <s v="elective"/>
    <x v="0"/>
    <x v="4"/>
    <n v="85"/>
    <n v="7.96"/>
    <n v="1.36"/>
    <x v="0"/>
    <n v="78"/>
    <n v="188"/>
    <n v="93"/>
    <n v="60"/>
    <s v="Good"/>
  </r>
  <r>
    <n v="490"/>
    <x v="434"/>
    <x v="474"/>
    <n v="5"/>
    <s v="elective"/>
    <x v="0"/>
    <x v="2"/>
    <n v="73"/>
    <n v="5.58"/>
    <n v="1.49"/>
    <x v="0"/>
    <n v="69"/>
    <n v="164"/>
    <n v="69"/>
    <n v="40"/>
    <s v="Moderate"/>
  </r>
  <r>
    <n v="491"/>
    <x v="435"/>
    <x v="475"/>
    <n v="4"/>
    <s v="elective"/>
    <x v="0"/>
    <x v="8"/>
    <n v="80"/>
    <n v="5.19"/>
    <n v="1.61"/>
    <x v="0"/>
    <n v="72"/>
    <n v="159"/>
    <n v="59"/>
    <n v="60"/>
    <s v="Good"/>
  </r>
  <r>
    <n v="492"/>
    <x v="436"/>
    <x v="476"/>
    <n v="6"/>
    <s v="salvage"/>
    <x v="1"/>
    <x v="2"/>
    <n v="68"/>
    <n v="42.02"/>
    <n v="36.39"/>
    <x v="0"/>
    <n v="62"/>
    <n v="164"/>
    <n v="75"/>
    <n v="63"/>
    <s v="Good"/>
  </r>
  <r>
    <n v="493"/>
    <x v="437"/>
    <x v="477"/>
    <n v="6"/>
    <s v="elective"/>
    <x v="0"/>
    <x v="11"/>
    <n v="54"/>
    <n v="2.27"/>
    <n v="1.59"/>
    <x v="0"/>
    <n v="107"/>
    <n v="161"/>
    <n v="101"/>
    <n v="35"/>
    <s v="Moderate"/>
  </r>
  <r>
    <n v="494"/>
    <x v="438"/>
    <x v="478"/>
    <n v="4"/>
    <s v="urgent"/>
    <x v="2"/>
    <x v="11"/>
    <n v="63"/>
    <n v="2.81"/>
    <n v="1.37"/>
    <x v="0"/>
    <n v="87"/>
    <n v="175"/>
    <n v="88"/>
    <n v="63"/>
    <s v="Good"/>
  </r>
  <r>
    <n v="495"/>
    <x v="439"/>
    <x v="479"/>
    <n v="5"/>
    <s v="elective"/>
    <x v="3"/>
    <x v="3"/>
    <n v="78"/>
    <n v="5.14"/>
    <n v="1.92"/>
    <x v="0"/>
    <n v="93"/>
    <n v="141"/>
    <n v="90"/>
    <n v="38"/>
    <s v="Moderate"/>
  </r>
  <r>
    <n v="496"/>
    <x v="439"/>
    <x v="480"/>
    <n v="4"/>
    <s v="elective"/>
    <x v="2"/>
    <x v="7"/>
    <n v="67"/>
    <n v="2.84"/>
    <n v="1.04"/>
    <x v="0"/>
    <n v="88"/>
    <n v="185"/>
    <n v="92"/>
    <n v="65"/>
    <s v="Good"/>
  </r>
  <r>
    <n v="497"/>
    <x v="440"/>
    <x v="481"/>
    <n v="3"/>
    <s v="urgent"/>
    <x v="3"/>
    <x v="11"/>
    <n v="62"/>
    <n v="18.88"/>
    <n v="14.1"/>
    <x v="0"/>
    <n v="80"/>
    <n v="180"/>
    <n v="116"/>
    <n v="55"/>
    <s v="Good"/>
  </r>
  <r>
    <n v="498"/>
    <x v="441"/>
    <x v="482"/>
    <n v="4"/>
    <s v="urgent"/>
    <x v="2"/>
    <x v="15"/>
    <n v="56"/>
    <n v="3.63"/>
    <n v="1.66"/>
    <x v="0"/>
    <n v="150"/>
    <n v="165"/>
    <n v="93"/>
    <n v="64"/>
    <s v="Good"/>
  </r>
  <r>
    <n v="499"/>
    <x v="442"/>
    <x v="483"/>
    <n v="3"/>
    <s v="elective"/>
    <x v="3"/>
    <x v="16"/>
    <n v="81"/>
    <n v="9.15"/>
    <n v="3.17"/>
    <x v="0"/>
    <n v="72"/>
    <n v="169"/>
    <n v="70"/>
    <n v="50"/>
    <s v="Moderate"/>
  </r>
  <r>
    <n v="500"/>
    <x v="443"/>
    <x v="484"/>
    <n v="4"/>
    <s v="elective"/>
    <x v="0"/>
    <x v="15"/>
    <n v="56"/>
    <n v="2.08"/>
    <n v="0.84"/>
    <x v="0"/>
    <n v="79"/>
    <n v="170"/>
    <n v="75"/>
    <n v="55"/>
    <s v="Good"/>
  </r>
  <r>
    <n v="501"/>
    <x v="439"/>
    <x v="485"/>
    <n v="3"/>
    <s v="elective"/>
    <x v="0"/>
    <x v="7"/>
    <n v="82"/>
    <n v="6.61"/>
    <n v="0.94"/>
    <x v="0"/>
    <n v="134"/>
    <n v="186"/>
    <n v="145"/>
    <n v="62"/>
    <s v="Good"/>
  </r>
  <r>
    <n v="502"/>
    <x v="444"/>
    <x v="486"/>
    <n v="4"/>
    <s v="elective"/>
    <x v="3"/>
    <x v="15"/>
    <n v="80"/>
    <n v="10.66"/>
    <n v="7.23"/>
    <x v="0"/>
    <n v="97"/>
    <n v="175"/>
    <n v="75"/>
    <n v="56"/>
    <s v="Good"/>
  </r>
  <r>
    <n v="503"/>
    <x v="445"/>
    <x v="487"/>
    <n v="5"/>
    <s v="urgent"/>
    <x v="0"/>
    <x v="12"/>
    <n v="78"/>
    <n v="5.14"/>
    <n v="5.25"/>
    <x v="0"/>
    <n v="95"/>
    <n v="175"/>
    <n v="103"/>
    <n v="45"/>
    <s v="Moderate"/>
  </r>
  <r>
    <n v="504"/>
    <x v="446"/>
    <x v="488"/>
    <n v="5"/>
    <s v="elective"/>
    <x v="0"/>
    <x v="12"/>
    <n v="82"/>
    <n v="6.61"/>
    <n v="2.69"/>
    <x v="0"/>
    <n v="73"/>
    <n v="175"/>
    <n v="69"/>
    <n v="66"/>
    <s v="Good"/>
  </r>
  <r>
    <n v="505"/>
    <x v="446"/>
    <x v="489"/>
    <n v="3"/>
    <s v="elective"/>
    <x v="0"/>
    <x v="15"/>
    <n v="68"/>
    <n v="5.97"/>
    <n v="1.64"/>
    <x v="0"/>
    <n v="70"/>
    <n v="176"/>
    <n v="130"/>
    <n v="66"/>
    <s v="Good"/>
  </r>
  <r>
    <n v="506"/>
    <x v="447"/>
    <x v="490"/>
    <n v="3"/>
    <s v="urgent"/>
    <x v="2"/>
    <x v="6"/>
    <n v="52"/>
    <n v="4.3"/>
    <n v="1.86"/>
    <x v="0"/>
    <n v="87"/>
    <n v="163"/>
    <n v="50"/>
    <n v="44"/>
    <s v="Moderate"/>
  </r>
  <r>
    <n v="507"/>
    <x v="448"/>
    <x v="491"/>
    <n v="4"/>
    <s v="elective"/>
    <x v="3"/>
    <x v="1"/>
    <n v="54"/>
    <n v="2.27"/>
    <n v="1.58"/>
    <x v="0"/>
    <n v="62"/>
    <n v="178"/>
    <n v="66"/>
    <n v="50"/>
    <s v="Moderate"/>
  </r>
  <r>
    <n v="508"/>
    <x v="449"/>
    <x v="492"/>
    <n v="5"/>
    <s v="elective"/>
    <x v="4"/>
    <x v="3"/>
    <n v="55"/>
    <n v="4.6500000000000004"/>
    <n v="0.96"/>
    <x v="0"/>
    <n v="94"/>
    <n v="190"/>
    <n v="90"/>
    <n v="20"/>
    <s v="Very Poor"/>
  </r>
  <r>
    <n v="509"/>
    <x v="450"/>
    <x v="493"/>
    <n v="4"/>
    <s v="elective"/>
    <x v="2"/>
    <x v="1"/>
    <n v="59"/>
    <n v="1.33"/>
    <n v="0.69"/>
    <x v="0"/>
    <n v="66"/>
    <n v="170"/>
    <n v="77"/>
    <n v="60"/>
    <s v="Good"/>
  </r>
  <r>
    <n v="510"/>
    <x v="449"/>
    <x v="494"/>
    <n v="5"/>
    <s v="elective"/>
    <x v="2"/>
    <x v="3"/>
    <n v="56"/>
    <n v="3.26"/>
    <n v="1.89"/>
    <x v="0"/>
    <n v="68"/>
    <n v="167"/>
    <n v="66"/>
    <n v="50"/>
    <s v="Moderate"/>
  </r>
  <r>
    <n v="511"/>
    <x v="451"/>
    <x v="495"/>
    <n v="3"/>
    <s v="elective"/>
    <x v="0"/>
    <x v="2"/>
    <n v="79"/>
    <n v="10.92"/>
    <n v="1.46"/>
    <x v="0"/>
    <n v="126"/>
    <n v="181"/>
    <n v="72"/>
    <n v="56"/>
    <s v="Good"/>
  </r>
  <r>
    <n v="512"/>
    <x v="452"/>
    <x v="495"/>
    <n v="4"/>
    <s v="elective"/>
    <x v="0"/>
    <x v="8"/>
    <n v="66"/>
    <n v="3.28"/>
    <n v="0.74"/>
    <x v="0"/>
    <n v="116"/>
    <n v="167"/>
    <n v="68"/>
    <n v="38"/>
    <s v="Moderate"/>
  </r>
  <r>
    <n v="513"/>
    <x v="453"/>
    <x v="496"/>
    <n v="5"/>
    <s v="urgent"/>
    <x v="2"/>
    <x v="15"/>
    <n v="65"/>
    <n v="9.08"/>
    <n v="2.98"/>
    <x v="0"/>
    <n v="68"/>
    <n v="178"/>
    <n v="82"/>
    <n v="50"/>
    <s v="Moderate"/>
  </r>
  <r>
    <n v="514"/>
    <x v="454"/>
    <x v="497"/>
    <n v="3"/>
    <s v="elective"/>
    <x v="0"/>
    <x v="2"/>
    <n v="67"/>
    <n v="3.5"/>
    <n v="1.32"/>
    <x v="0"/>
    <n v="74"/>
    <n v="156"/>
    <n v="81"/>
    <n v="65"/>
    <s v="Good"/>
  </r>
  <r>
    <n v="515"/>
    <x v="455"/>
    <x v="498"/>
    <n v="4"/>
    <s v="elective"/>
    <x v="0"/>
    <x v="8"/>
    <n v="76"/>
    <n v="4.53"/>
    <n v="0.79"/>
    <x v="0"/>
    <n v="78"/>
    <n v="156"/>
    <n v="66"/>
    <n v="52"/>
    <s v="Good"/>
  </r>
  <r>
    <n v="516"/>
    <x v="454"/>
    <x v="499"/>
    <n v="5"/>
    <s v="elective"/>
    <x v="0"/>
    <x v="15"/>
    <n v="64"/>
    <n v="2.09"/>
    <n v="1.96"/>
    <x v="0"/>
    <n v="112"/>
    <n v="177"/>
    <n v="63"/>
    <n v="49"/>
    <s v="Moderate"/>
  </r>
  <r>
    <n v="517"/>
    <x v="456"/>
    <x v="500"/>
    <n v="4"/>
    <s v="urgent"/>
    <x v="2"/>
    <x v="16"/>
    <n v="59"/>
    <n v="2.2799999999999998"/>
    <n v="1.0900000000000001"/>
    <x v="0"/>
    <n v="85"/>
    <n v="180"/>
    <n v="106"/>
    <n v="20"/>
    <s v="Very Poor"/>
  </r>
  <r>
    <n v="518"/>
    <x v="449"/>
    <x v="501"/>
    <n v="3"/>
    <s v="elective"/>
    <x v="2"/>
    <x v="6"/>
    <n v="74"/>
    <n v="5.22"/>
    <n v="2.02"/>
    <x v="0"/>
    <n v="103"/>
    <n v="180"/>
    <n v="96"/>
    <n v="60"/>
    <s v="Good"/>
  </r>
  <r>
    <n v="519"/>
    <x v="457"/>
    <x v="502"/>
    <n v="3"/>
    <s v="elective"/>
    <x v="3"/>
    <x v="2"/>
    <n v="79"/>
    <n v="5.48"/>
    <n v="2.65"/>
    <x v="0"/>
    <n v="95"/>
    <n v="154"/>
    <n v="64"/>
    <n v="55"/>
    <s v="Good"/>
  </r>
  <r>
    <n v="520"/>
    <x v="458"/>
    <x v="503"/>
    <n v="4"/>
    <s v="elective"/>
    <x v="0"/>
    <x v="16"/>
    <n v="70"/>
    <n v="4.6100000000000003"/>
    <n v="1.94"/>
    <x v="0"/>
    <n v="110"/>
    <n v="175"/>
    <n v="70"/>
    <n v="42"/>
    <s v="Moderate"/>
  </r>
  <r>
    <n v="521"/>
    <x v="459"/>
    <x v="504"/>
    <n v="5"/>
    <s v="elective"/>
    <x v="2"/>
    <x v="12"/>
    <n v="78"/>
    <n v="3.06"/>
    <n v="0.93"/>
    <x v="0"/>
    <n v="73"/>
    <n v="140"/>
    <n v="61"/>
    <n v="60"/>
    <s v="Good"/>
  </r>
  <r>
    <n v="522"/>
    <x v="460"/>
    <x v="505"/>
    <n v="4"/>
    <s v="urgent"/>
    <x v="2"/>
    <x v="1"/>
    <n v="74"/>
    <n v="12.62"/>
    <n v="3.58"/>
    <x v="0"/>
    <n v="143"/>
    <n v="170"/>
    <n v="73"/>
    <n v="60"/>
    <s v="Good"/>
  </r>
  <r>
    <n v="523"/>
    <x v="461"/>
    <x v="506"/>
    <n v="3"/>
    <s v="elective"/>
    <x v="0"/>
    <x v="6"/>
    <n v="77"/>
    <n v="7.16"/>
    <n v="3.18"/>
    <x v="0"/>
    <n v="76"/>
    <n v="178"/>
    <n v="97"/>
    <n v="60"/>
    <s v="Good"/>
  </r>
  <r>
    <n v="524"/>
    <x v="461"/>
    <x v="507"/>
    <n v="3"/>
    <s v="elective"/>
    <x v="3"/>
    <x v="6"/>
    <n v="64"/>
    <n v="2.09"/>
    <n v="1.29"/>
    <x v="0"/>
    <n v="72"/>
    <n v="180"/>
    <n v="67"/>
    <n v="44"/>
    <s v="Moderate"/>
  </r>
  <r>
    <n v="525"/>
    <x v="461"/>
    <x v="508"/>
    <n v="4"/>
    <s v="elective"/>
    <x v="2"/>
    <x v="1"/>
    <n v="64"/>
    <n v="1.85"/>
    <n v="0.85"/>
    <x v="0"/>
    <n v="66"/>
    <n v="187"/>
    <n v="157"/>
    <n v="65"/>
    <s v="Good"/>
  </r>
  <r>
    <n v="526"/>
    <x v="462"/>
    <x v="509"/>
    <n v="4"/>
    <s v="elective"/>
    <x v="0"/>
    <x v="7"/>
    <n v="65"/>
    <n v="2.23"/>
    <n v="0.57999999999999996"/>
    <x v="0"/>
    <n v="66"/>
    <n v="169"/>
    <n v="63"/>
    <n v="56"/>
    <s v="Good"/>
  </r>
  <r>
    <n v="527"/>
    <x v="463"/>
    <x v="510"/>
    <n v="3"/>
    <s v="urgent"/>
    <x v="4"/>
    <x v="11"/>
    <n v="73"/>
    <n v="34"/>
    <n v="11.19"/>
    <x v="0"/>
    <n v="83"/>
    <n v="161"/>
    <n v="72"/>
    <n v="55"/>
    <s v="Good"/>
  </r>
  <r>
    <n v="528"/>
    <x v="464"/>
    <x v="511"/>
    <n v="4"/>
    <s v="elective"/>
    <x v="0"/>
    <x v="7"/>
    <n v="82"/>
    <n v="8.9700000000000006"/>
    <n v="1.1599999999999999"/>
    <x v="0"/>
    <n v="63"/>
    <n v="173"/>
    <n v="130"/>
    <n v="50"/>
    <s v="Moderate"/>
  </r>
  <r>
    <n v="529"/>
    <x v="465"/>
    <x v="512"/>
    <n v="3"/>
    <s v="elective"/>
    <x v="0"/>
    <x v="11"/>
    <n v="66"/>
    <n v="3.28"/>
    <n v="1.17"/>
    <x v="1"/>
    <n v="138"/>
    <n v="183"/>
    <n v="87"/>
    <n v="26"/>
    <s v="Poor"/>
  </r>
  <r>
    <n v="530"/>
    <x v="466"/>
    <x v="513"/>
    <n v="4"/>
    <s v="elective"/>
    <x v="3"/>
    <x v="15"/>
    <n v="74"/>
    <n v="7.41"/>
    <n v="12.25"/>
    <x v="0"/>
    <n v="83"/>
    <n v="165"/>
    <n v="60"/>
    <n v="55"/>
    <s v="Good"/>
  </r>
  <r>
    <n v="531"/>
    <x v="467"/>
    <x v="514"/>
    <n v="5"/>
    <s v="emergency"/>
    <x v="4"/>
    <x v="1"/>
    <n v="54"/>
    <n v="66.7"/>
    <n v="50.46"/>
    <x v="0"/>
    <n v="119"/>
    <n v="150"/>
    <n v="70"/>
    <n v="27"/>
    <s v="Poor"/>
  </r>
  <r>
    <n v="532"/>
    <x v="461"/>
    <x v="515"/>
    <n v="3"/>
    <s v="elective"/>
    <x v="0"/>
    <x v="12"/>
    <n v="70"/>
    <n v="7.86"/>
    <n v="2.11"/>
    <x v="0"/>
    <n v="94"/>
    <n v="168"/>
    <n v="78"/>
    <n v="55"/>
    <s v="Good"/>
  </r>
  <r>
    <n v="533"/>
    <x v="468"/>
    <x v="516"/>
    <n v="4"/>
    <s v="elective"/>
    <x v="4"/>
    <x v="1"/>
    <n v="69"/>
    <n v="43.59"/>
    <n v="8.74"/>
    <x v="0"/>
    <n v="119"/>
    <n v="175"/>
    <n v="90"/>
    <n v="43"/>
    <s v="Moderate"/>
  </r>
  <r>
    <n v="534"/>
    <x v="469"/>
    <x v="517"/>
    <n v="6"/>
    <s v="urgent"/>
    <x v="0"/>
    <x v="4"/>
    <n v="32"/>
    <n v="6.75"/>
    <n v="7.64"/>
    <x v="0"/>
    <n v="93"/>
    <n v="187"/>
    <n v="100"/>
    <n v="66"/>
    <s v="Good"/>
  </r>
  <r>
    <n v="535"/>
    <x v="470"/>
    <x v="518"/>
    <n v="3"/>
    <s v="elective"/>
    <x v="3"/>
    <x v="12"/>
    <n v="84"/>
    <n v="20.329999999999998"/>
    <n v="5.0999999999999996"/>
    <x v="0"/>
    <n v="168"/>
    <n v="177"/>
    <n v="86"/>
    <n v="40"/>
    <s v="Moderate"/>
  </r>
  <r>
    <n v="536"/>
    <x v="470"/>
    <x v="519"/>
    <n v="4"/>
    <s v="elective"/>
    <x v="2"/>
    <x v="1"/>
    <n v="63"/>
    <n v="1.1499999999999999"/>
    <n v="0.61"/>
    <x v="0"/>
    <n v="103"/>
    <n v="166"/>
    <n v="68"/>
    <n v="55"/>
    <s v="Good"/>
  </r>
  <r>
    <n v="537"/>
    <x v="471"/>
    <x v="520"/>
    <n v="3"/>
    <s v="elective"/>
    <x v="2"/>
    <x v="4"/>
    <n v="65"/>
    <n v="1.31"/>
    <n v="0.57999999999999996"/>
    <x v="0"/>
    <n v="82"/>
    <n v="189"/>
    <n v="91"/>
    <n v="60"/>
    <s v="Good"/>
  </r>
  <r>
    <n v="538"/>
    <x v="472"/>
    <x v="521"/>
    <n v="4"/>
    <s v="urgent"/>
    <x v="2"/>
    <x v="15"/>
    <n v="85"/>
    <n v="10.77"/>
    <n v="3.33"/>
    <x v="1"/>
    <n v="63"/>
    <n v="156"/>
    <n v="76"/>
    <n v="60"/>
    <s v="Good"/>
  </r>
  <r>
    <n v="539"/>
    <x v="473"/>
    <x v="522"/>
    <n v="5"/>
    <s v="elective"/>
    <x v="2"/>
    <x v="7"/>
    <n v="77"/>
    <n v="4.29"/>
    <n v="1.66"/>
    <x v="0"/>
    <n v="74"/>
    <n v="190"/>
    <n v="95"/>
    <n v="56"/>
    <s v="Good"/>
  </r>
  <r>
    <n v="540"/>
    <x v="474"/>
    <x v="523"/>
    <n v="5"/>
    <s v="elective"/>
    <x v="2"/>
    <x v="7"/>
    <n v="67"/>
    <n v="2.84"/>
    <n v="1.1599999999999999"/>
    <x v="0"/>
    <n v="85"/>
    <n v="180"/>
    <n v="90"/>
    <n v="56"/>
    <s v="Good"/>
  </r>
  <r>
    <n v="541"/>
    <x v="475"/>
    <x v="524"/>
    <n v="3"/>
    <s v="elective"/>
    <x v="3"/>
    <x v="4"/>
    <n v="59"/>
    <n v="1.51"/>
    <n v="0.96"/>
    <x v="0"/>
    <n v="88"/>
    <n v="171"/>
    <n v="115"/>
    <n v="55"/>
    <s v="Good"/>
  </r>
  <r>
    <n v="542"/>
    <x v="471"/>
    <x v="525"/>
    <n v="4"/>
    <s v="elective"/>
    <x v="0"/>
    <x v="15"/>
    <n v="61"/>
    <n v="2.37"/>
    <n v="0.86"/>
    <x v="0"/>
    <n v="174"/>
    <n v="180"/>
    <n v="93"/>
    <n v="68"/>
    <s v="Good"/>
  </r>
  <r>
    <n v="543"/>
    <x v="476"/>
    <x v="526"/>
    <n v="6"/>
    <s v="elective"/>
    <x v="0"/>
    <x v="0"/>
    <n v="58"/>
    <n v="2.44"/>
    <n v="0.81"/>
    <x v="0"/>
    <n v="69"/>
    <n v="169"/>
    <n v="106"/>
    <n v="42"/>
    <s v="Moderate"/>
  </r>
  <r>
    <n v="544"/>
    <x v="477"/>
    <x v="527"/>
    <n v="3"/>
    <s v="elective"/>
    <x v="0"/>
    <x v="2"/>
    <n v="22"/>
    <n v="3.13"/>
    <n v="2.21"/>
    <x v="0"/>
    <n v="99"/>
    <n v="183"/>
    <n v="106"/>
    <n v="65"/>
    <s v="Good"/>
  </r>
  <r>
    <n v="545"/>
    <x v="478"/>
    <x v="528"/>
    <n v="4"/>
    <s v="urgent"/>
    <x v="0"/>
    <x v="8"/>
    <n v="48"/>
    <n v="5.03"/>
    <n v="2.67"/>
    <x v="0"/>
    <n v="138"/>
    <n v="172"/>
    <n v="88"/>
    <n v="63"/>
    <s v="Good"/>
  </r>
  <r>
    <n v="546"/>
    <x v="479"/>
    <x v="529"/>
    <n v="6"/>
    <s v="elective"/>
    <x v="0"/>
    <x v="0"/>
    <n v="70"/>
    <n v="10.09"/>
    <n v="2.88"/>
    <x v="0"/>
    <n v="83"/>
    <n v="168"/>
    <n v="116"/>
    <n v="60"/>
    <s v="Good"/>
  </r>
  <r>
    <n v="547"/>
    <x v="480"/>
    <x v="530"/>
    <n v="3"/>
    <s v="elective"/>
    <x v="0"/>
    <x v="2"/>
    <n v="57"/>
    <n v="1.51"/>
    <n v="1.31"/>
    <x v="0"/>
    <n v="85"/>
    <n v="151"/>
    <n v="64"/>
    <n v="56"/>
    <s v="Good"/>
  </r>
  <r>
    <n v="548"/>
    <x v="481"/>
    <x v="531"/>
    <n v="4"/>
    <s v="elective"/>
    <x v="0"/>
    <x v="8"/>
    <n v="59"/>
    <n v="1.51"/>
    <n v="0.5"/>
    <x v="0"/>
    <n v="74"/>
    <n v="174"/>
    <n v="56"/>
    <n v="40"/>
    <s v="Moderate"/>
  </r>
  <r>
    <n v="549"/>
    <x v="482"/>
    <x v="532"/>
    <n v="1"/>
    <s v="emergency"/>
    <x v="4"/>
    <x v="0"/>
    <n v="51"/>
    <n v="5.04"/>
    <n v="2.3199999999999998"/>
    <x v="0"/>
    <n v="128"/>
    <n v="170"/>
    <n v="63"/>
    <n v="55"/>
    <s v="Good"/>
  </r>
  <r>
    <n v="550"/>
    <x v="483"/>
    <x v="533"/>
    <n v="5"/>
    <s v="elective"/>
    <x v="2"/>
    <x v="12"/>
    <n v="76"/>
    <n v="4.03"/>
    <n v="2.5099999999999998"/>
    <x v="0"/>
    <n v="86"/>
    <n v="160"/>
    <n v="93"/>
    <n v="37"/>
    <s v="Moderate"/>
  </r>
  <r>
    <n v="551"/>
    <x v="484"/>
    <x v="534"/>
    <n v="4"/>
    <s v="urgent"/>
    <x v="2"/>
    <x v="11"/>
    <n v="63"/>
    <n v="20.71"/>
    <n v="12.67"/>
    <x v="0"/>
    <n v="64"/>
    <n v="160"/>
    <n v="75"/>
    <n v="55"/>
    <s v="Good"/>
  </r>
  <r>
    <n v="552"/>
    <x v="485"/>
    <x v="535"/>
    <n v="3"/>
    <s v="elective"/>
    <x v="3"/>
    <x v="16"/>
    <n v="83"/>
    <n v="10.32"/>
    <n v="2.4900000000000002"/>
    <x v="0"/>
    <n v="81"/>
    <n v="173"/>
    <n v="108"/>
    <n v="55"/>
    <s v="Good"/>
  </r>
  <r>
    <n v="553"/>
    <x v="486"/>
    <x v="536"/>
    <n v="6"/>
    <s v="elective"/>
    <x v="0"/>
    <x v="11"/>
    <n v="60"/>
    <n v="1.61"/>
    <n v="0.56000000000000005"/>
    <x v="0"/>
    <n v="67"/>
    <n v="178"/>
    <n v="101"/>
    <n v="45"/>
    <s v="Moderate"/>
  </r>
  <r>
    <n v="554"/>
    <x v="487"/>
    <x v="537"/>
    <n v="3"/>
    <s v="urgent"/>
    <x v="2"/>
    <x v="16"/>
    <n v="64"/>
    <n v="6.01"/>
    <n v="2.21"/>
    <x v="0"/>
    <n v="106"/>
    <n v="170"/>
    <n v="89"/>
    <n v="55"/>
    <s v="Good"/>
  </r>
  <r>
    <n v="555"/>
    <x v="488"/>
    <x v="538"/>
    <n v="5"/>
    <s v="elective"/>
    <x v="0"/>
    <x v="12"/>
    <n v="82"/>
    <n v="6.61"/>
    <n v="1.69"/>
    <x v="0"/>
    <n v="92"/>
    <n v="163"/>
    <n v="62"/>
    <n v="65"/>
    <s v="Good"/>
  </r>
  <r>
    <n v="556"/>
    <x v="489"/>
    <x v="539"/>
    <n v="4"/>
    <s v="elective"/>
    <x v="0"/>
    <x v="8"/>
    <n v="87"/>
    <n v="12.08"/>
    <n v="7.44"/>
    <x v="0"/>
    <n v="75"/>
    <n v="180"/>
    <n v="75"/>
    <n v="25"/>
    <s v="Poor"/>
  </r>
  <r>
    <n v="557"/>
    <x v="490"/>
    <x v="540"/>
    <n v="5"/>
    <s v="elective"/>
    <x v="3"/>
    <x v="7"/>
    <n v="60"/>
    <n v="2.42"/>
    <n v="2.13"/>
    <x v="0"/>
    <n v="87"/>
    <n v="170"/>
    <n v="124"/>
    <n v="60"/>
    <s v="Good"/>
  </r>
  <r>
    <n v="558"/>
    <x v="491"/>
    <x v="541"/>
    <n v="3"/>
    <s v="urgent"/>
    <x v="3"/>
    <x v="0"/>
    <n v="72"/>
    <n v="2.0699999999999998"/>
    <n v="1.44"/>
    <x v="0"/>
    <n v="70"/>
    <n v="158"/>
    <n v="86"/>
    <n v="65"/>
    <s v="Good"/>
  </r>
  <r>
    <n v="559"/>
    <x v="492"/>
    <x v="542"/>
    <n v="3"/>
    <s v="elective"/>
    <x v="0"/>
    <x v="0"/>
    <n v="62"/>
    <n v="2.5299999999999998"/>
    <n v="0.89"/>
    <x v="0"/>
    <n v="82"/>
    <n v="167"/>
    <n v="106"/>
    <n v="35"/>
    <s v="Moderate"/>
  </r>
  <r>
    <n v="560"/>
    <x v="493"/>
    <x v="543"/>
    <n v="1"/>
    <s v="elective"/>
    <x v="2"/>
    <x v="7"/>
    <n v="57"/>
    <n v="0.88"/>
    <n v="0.5"/>
    <x v="0"/>
    <n v="94"/>
    <n v="193"/>
    <n v="90"/>
    <n v="52"/>
    <s v="Good"/>
  </r>
  <r>
    <n v="561"/>
    <x v="494"/>
    <x v="544"/>
    <n v="4"/>
    <s v="urgent"/>
    <x v="2"/>
    <x v="16"/>
    <n v="73"/>
    <n v="6"/>
    <n v="2.5099999999999998"/>
    <x v="0"/>
    <n v="143"/>
    <n v="175"/>
    <n v="100"/>
    <n v="65"/>
    <s v="Good"/>
  </r>
  <r>
    <n v="562"/>
    <x v="495"/>
    <x v="545"/>
    <n v="5"/>
    <s v="elective"/>
    <x v="0"/>
    <x v="14"/>
    <n v="77"/>
    <n v="16.13"/>
    <n v="23.74"/>
    <x v="1"/>
    <n v="82"/>
    <n v="150"/>
    <n v="50"/>
    <n v="41"/>
    <s v="Moderate"/>
  </r>
  <r>
    <n v="563"/>
    <x v="496"/>
    <x v="546"/>
    <n v="4"/>
    <s v="elective"/>
    <x v="0"/>
    <x v="16"/>
    <n v="68"/>
    <n v="2.71"/>
    <n v="0.7"/>
    <x v="0"/>
    <n v="79"/>
    <n v="175"/>
    <n v="93"/>
    <n v="36"/>
    <s v="Moderate"/>
  </r>
  <r>
    <n v="564"/>
    <x v="497"/>
    <x v="547"/>
    <n v="3"/>
    <s v="elective"/>
    <x v="0"/>
    <x v="3"/>
    <n v="72"/>
    <n v="14.6"/>
    <n v="7.61"/>
    <x v="0"/>
    <n v="77"/>
    <n v="170"/>
    <n v="69"/>
    <n v="55"/>
    <s v="Good"/>
  </r>
  <r>
    <n v="565"/>
    <x v="498"/>
    <x v="548"/>
    <n v="4"/>
    <s v="elective"/>
    <x v="3"/>
    <x v="1"/>
    <n v="82"/>
    <n v="8.9700000000000006"/>
    <n v="2.68"/>
    <x v="0"/>
    <n v="119"/>
    <n v="184"/>
    <n v="93"/>
    <n v="45"/>
    <s v="Moderate"/>
  </r>
  <r>
    <n v="566"/>
    <x v="499"/>
    <x v="549"/>
    <n v="6"/>
    <s v="elective"/>
    <x v="3"/>
    <x v="12"/>
    <n v="73"/>
    <n v="8.5399999999999991"/>
    <n v="2.69"/>
    <x v="0"/>
    <n v="111"/>
    <n v="175"/>
    <n v="75"/>
    <n v="40"/>
    <s v="Moderate"/>
  </r>
  <r>
    <n v="567"/>
    <x v="500"/>
    <x v="550"/>
    <n v="4"/>
    <s v="elective"/>
    <x v="4"/>
    <x v="1"/>
    <n v="58"/>
    <n v="6.9"/>
    <n v="1.31"/>
    <x v="0"/>
    <n v="80"/>
    <n v="168"/>
    <n v="120"/>
    <n v="22"/>
    <s v="Poor"/>
  </r>
  <r>
    <n v="568"/>
    <x v="501"/>
    <x v="551"/>
    <n v="6"/>
    <s v="elective"/>
    <x v="0"/>
    <x v="12"/>
    <n v="57"/>
    <n v="3.94"/>
    <n v="1.8"/>
    <x v="0"/>
    <n v="64"/>
    <n v="178"/>
    <n v="89"/>
    <n v="45"/>
    <s v="Moderate"/>
  </r>
  <r>
    <n v="569"/>
    <x v="502"/>
    <x v="552"/>
    <n v="4"/>
    <s v="urgent"/>
    <x v="2"/>
    <x v="7"/>
    <n v="72"/>
    <n v="11.99"/>
    <n v="4.8499999999999996"/>
    <x v="0"/>
    <n v="68"/>
    <n v="170"/>
    <n v="130"/>
    <n v="65"/>
    <s v="Good"/>
  </r>
  <r>
    <n v="570"/>
    <x v="503"/>
    <x v="553"/>
    <n v="5"/>
    <s v="elective"/>
    <x v="3"/>
    <x v="2"/>
    <n v="71"/>
    <n v="3.29"/>
    <n v="1.78"/>
    <x v="0"/>
    <n v="66"/>
    <n v="152"/>
    <n v="51"/>
    <n v="53"/>
    <s v="Good"/>
  </r>
  <r>
    <n v="571"/>
    <x v="504"/>
    <x v="554"/>
    <n v="2"/>
    <s v="urgent"/>
    <x v="2"/>
    <x v="6"/>
    <n v="73"/>
    <n v="8.98"/>
    <n v="5.14"/>
    <x v="0"/>
    <n v="96"/>
    <n v="172"/>
    <n v="99"/>
    <n v="22"/>
    <s v="Poor"/>
  </r>
  <r>
    <n v="572"/>
    <x v="505"/>
    <x v="555"/>
    <n v="4"/>
    <s v="elective"/>
    <x v="0"/>
    <x v="7"/>
    <n v="55"/>
    <n v="1.51"/>
    <n v="0.5"/>
    <x v="0"/>
    <n v="64"/>
    <n v="183"/>
    <n v="123"/>
    <n v="52"/>
    <s v="Good"/>
  </r>
  <r>
    <n v="573"/>
    <x v="506"/>
    <x v="556"/>
    <n v="5"/>
    <s v="elective"/>
    <x v="0"/>
    <x v="2"/>
    <n v="67"/>
    <n v="3.81"/>
    <n v="2.17"/>
    <x v="0"/>
    <n v="94"/>
    <n v="165"/>
    <n v="95"/>
    <n v="56"/>
    <s v="Good"/>
  </r>
  <r>
    <n v="574"/>
    <x v="505"/>
    <x v="556"/>
    <n v="3"/>
    <s v="elective"/>
    <x v="2"/>
    <x v="6"/>
    <n v="64"/>
    <n v="1.23"/>
    <n v="0.63"/>
    <x v="0"/>
    <n v="77"/>
    <n v="170"/>
    <n v="90"/>
    <n v="32"/>
    <s v="Moderate"/>
  </r>
  <r>
    <n v="575"/>
    <x v="507"/>
    <x v="557"/>
    <n v="6"/>
    <s v="urgent"/>
    <x v="0"/>
    <x v="2"/>
    <n v="84"/>
    <n v="10.95"/>
    <n v="4.71"/>
    <x v="0"/>
    <n v="89"/>
    <n v="170"/>
    <n v="78"/>
    <n v="63"/>
    <s v="Good"/>
  </r>
  <r>
    <n v="576"/>
    <x v="508"/>
    <x v="558"/>
    <n v="4"/>
    <s v="elective"/>
    <x v="3"/>
    <x v="8"/>
    <n v="75"/>
    <n v="10.79"/>
    <n v="5.8"/>
    <x v="0"/>
    <n v="69"/>
    <n v="183"/>
    <n v="90"/>
    <n v="57"/>
    <s v="Good"/>
  </r>
  <r>
    <n v="577"/>
    <x v="509"/>
    <x v="559"/>
    <n v="6"/>
    <s v="elective"/>
    <x v="3"/>
    <x v="2"/>
    <n v="81"/>
    <n v="6.21"/>
    <n v="1.56"/>
    <x v="0"/>
    <n v="84"/>
    <n v="160"/>
    <n v="80"/>
    <n v="50"/>
    <s v="Moderate"/>
  </r>
  <r>
    <n v="578"/>
    <x v="501"/>
    <x v="560"/>
    <n v="3"/>
    <s v="urgent"/>
    <x v="0"/>
    <x v="16"/>
    <n v="56"/>
    <n v="2.57"/>
    <n v="0.89"/>
    <x v="0"/>
    <n v="77"/>
    <n v="172"/>
    <n v="92"/>
    <n v="10"/>
    <s v="Very Poor"/>
  </r>
  <r>
    <n v="579"/>
    <x v="510"/>
    <x v="561"/>
    <n v="5"/>
    <s v="urgent"/>
    <x v="2"/>
    <x v="12"/>
    <n v="49"/>
    <n v="1.51"/>
    <n v="1.07"/>
    <x v="2"/>
    <n v="114"/>
    <n v="174"/>
    <n v="65"/>
    <n v="40"/>
    <s v="Moderate"/>
  </r>
  <r>
    <n v="580"/>
    <x v="511"/>
    <x v="562"/>
    <n v="4"/>
    <s v="urgent"/>
    <x v="2"/>
    <x v="15"/>
    <n v="72"/>
    <n v="3.91"/>
    <n v="2.4500000000000002"/>
    <x v="0"/>
    <n v="62"/>
    <n v="159"/>
    <n v="55"/>
    <n v="49"/>
    <s v="Moderate"/>
  </r>
  <r>
    <n v="581"/>
    <x v="512"/>
    <x v="563"/>
    <n v="5"/>
    <s v="elective"/>
    <x v="2"/>
    <x v="12"/>
    <n v="65"/>
    <n v="13.48"/>
    <n v="7.14"/>
    <x v="0"/>
    <n v="70"/>
    <n v="158"/>
    <n v="58"/>
    <n v="22"/>
    <s v="Poor"/>
  </r>
  <r>
    <n v="582"/>
    <x v="513"/>
    <x v="564"/>
    <n v="4"/>
    <s v="elective"/>
    <x v="3"/>
    <x v="15"/>
    <n v="75"/>
    <n v="10.64"/>
    <n v="4.1100000000000003"/>
    <x v="0"/>
    <n v="132"/>
    <n v="168"/>
    <n v="88"/>
    <n v="49"/>
    <s v="Moderate"/>
  </r>
  <r>
    <n v="583"/>
    <x v="514"/>
    <x v="565"/>
    <n v="5"/>
    <s v="urgent"/>
    <x v="2"/>
    <x v="0"/>
    <n v="78"/>
    <n v="10.33"/>
    <n v="2.5"/>
    <x v="0"/>
    <n v="68"/>
    <n v="155"/>
    <n v="63"/>
    <n v="28"/>
    <s v="Poor"/>
  </r>
  <r>
    <n v="584"/>
    <x v="515"/>
    <x v="565"/>
    <n v="4"/>
    <s v="elective"/>
    <x v="0"/>
    <x v="8"/>
    <n v="86"/>
    <n v="8.4600000000000009"/>
    <n v="1.1599999999999999"/>
    <x v="0"/>
    <n v="67"/>
    <n v="171"/>
    <n v="80"/>
    <n v="51"/>
    <s v="Good"/>
  </r>
  <r>
    <n v="585"/>
    <x v="516"/>
    <x v="566"/>
    <n v="5"/>
    <s v="urgent"/>
    <x v="2"/>
    <x v="0"/>
    <n v="68"/>
    <n v="4.53"/>
    <n v="2.2200000000000002"/>
    <x v="0"/>
    <n v="75"/>
    <n v="171"/>
    <n v="74"/>
    <n v="40"/>
    <s v="Moderate"/>
  </r>
  <r>
    <n v="586"/>
    <x v="517"/>
    <x v="567"/>
    <n v="4"/>
    <s v="elective"/>
    <x v="0"/>
    <x v="8"/>
    <n v="82"/>
    <n v="6.61"/>
    <n v="1.6"/>
    <x v="0"/>
    <n v="91"/>
    <n v="162"/>
    <n v="81"/>
    <n v="70"/>
    <s v="Good"/>
  </r>
  <r>
    <n v="587"/>
    <x v="518"/>
    <x v="568"/>
    <n v="5"/>
    <s v="elective"/>
    <x v="0"/>
    <x v="7"/>
    <n v="66"/>
    <n v="6.13"/>
    <n v="1.88"/>
    <x v="0"/>
    <n v="63"/>
    <n v="183"/>
    <n v="102"/>
    <n v="45"/>
    <s v="Moderate"/>
  </r>
  <r>
    <n v="588"/>
    <x v="519"/>
    <x v="569"/>
    <n v="4"/>
    <s v="elective"/>
    <x v="4"/>
    <x v="1"/>
    <n v="48"/>
    <n v="4.6500000000000004"/>
    <n v="0.96"/>
    <x v="0"/>
    <n v="63"/>
    <n v="169"/>
    <n v="90"/>
    <n v="40"/>
    <s v="Moderate"/>
  </r>
  <r>
    <n v="589"/>
    <x v="520"/>
    <x v="570"/>
    <n v="4"/>
    <s v="elective"/>
    <x v="4"/>
    <x v="1"/>
    <n v="59"/>
    <n v="4.6500000000000004"/>
    <n v="0.96"/>
    <x v="0"/>
    <n v="153"/>
    <n v="172"/>
    <n v="70"/>
    <n v="50"/>
    <s v="Moderate"/>
  </r>
  <r>
    <n v="590"/>
    <x v="521"/>
    <x v="571"/>
    <n v="5"/>
    <s v="elective"/>
    <x v="2"/>
    <x v="7"/>
    <n v="73"/>
    <n v="6.21"/>
    <n v="2.52"/>
    <x v="0"/>
    <n v="83"/>
    <n v="172"/>
    <n v="94"/>
    <n v="45"/>
    <s v="Moderate"/>
  </r>
  <r>
    <n v="591"/>
    <x v="522"/>
    <x v="572"/>
    <n v="5"/>
    <s v="emergency"/>
    <x v="4"/>
    <x v="1"/>
    <n v="68"/>
    <n v="48.75"/>
    <n v="11.4"/>
    <x v="1"/>
    <n v="73"/>
    <n v="163"/>
    <n v="41"/>
    <n v="26"/>
    <s v="Poor"/>
  </r>
  <r>
    <n v="592"/>
    <x v="523"/>
    <x v="573"/>
    <n v="5"/>
    <s v="urgent"/>
    <x v="2"/>
    <x v="12"/>
    <n v="56"/>
    <n v="2.2799999999999998"/>
    <n v="2.36"/>
    <x v="0"/>
    <n v="65"/>
    <n v="168"/>
    <n v="80"/>
    <n v="65"/>
    <s v="Good"/>
  </r>
  <r>
    <n v="593"/>
    <x v="524"/>
    <x v="574"/>
    <n v="6"/>
    <s v="urgent"/>
    <x v="2"/>
    <x v="6"/>
    <n v="72"/>
    <n v="5.26"/>
    <n v="2.68"/>
    <x v="0"/>
    <n v="85"/>
    <n v="177"/>
    <n v="76"/>
    <n v="70"/>
    <s v="Good"/>
  </r>
  <r>
    <n v="594"/>
    <x v="525"/>
    <x v="575"/>
    <n v="3"/>
    <s v="elective"/>
    <x v="2"/>
    <x v="3"/>
    <n v="75"/>
    <n v="4.0599999999999996"/>
    <n v="1.39"/>
    <x v="0"/>
    <n v="69"/>
    <n v="165"/>
    <n v="92"/>
    <n v="56"/>
    <s v="Good"/>
  </r>
  <r>
    <n v="595"/>
    <x v="526"/>
    <x v="576"/>
    <n v="4"/>
    <s v="elective"/>
    <x v="4"/>
    <x v="1"/>
    <n v="76"/>
    <n v="13.14"/>
    <n v="2.0299999999999998"/>
    <x v="0"/>
    <n v="94"/>
    <n v="173"/>
    <n v="75"/>
    <n v="44"/>
    <s v="Moderate"/>
  </r>
  <r>
    <n v="596"/>
    <x v="527"/>
    <x v="577"/>
    <n v="5"/>
    <s v="elective"/>
    <x v="3"/>
    <x v="12"/>
    <n v="77"/>
    <n v="6.59"/>
    <n v="3.3"/>
    <x v="0"/>
    <n v="74"/>
    <n v="153"/>
    <n v="62"/>
    <n v="20"/>
    <s v="Very Poor"/>
  </r>
  <r>
    <n v="597"/>
    <x v="528"/>
    <x v="578"/>
    <n v="3"/>
    <s v="elective"/>
    <x v="3"/>
    <x v="3"/>
    <n v="85"/>
    <n v="18.809999999999999"/>
    <n v="13.04"/>
    <x v="0"/>
    <n v="76"/>
    <n v="175"/>
    <n v="75"/>
    <n v="55"/>
    <s v="Good"/>
  </r>
  <r>
    <n v="598"/>
    <x v="529"/>
    <x v="579"/>
    <n v="6"/>
    <s v="elective"/>
    <x v="3"/>
    <x v="6"/>
    <n v="56"/>
    <n v="1.51"/>
    <n v="0.86"/>
    <x v="0"/>
    <n v="85"/>
    <n v="159"/>
    <n v="107"/>
    <n v="60"/>
    <s v="Good"/>
  </r>
  <r>
    <n v="599"/>
    <x v="530"/>
    <x v="580"/>
    <n v="5"/>
    <s v="elective"/>
    <x v="0"/>
    <x v="8"/>
    <n v="81"/>
    <n v="8.44"/>
    <n v="2.13"/>
    <x v="0"/>
    <n v="68"/>
    <n v="163"/>
    <n v="57"/>
    <n v="63"/>
    <s v="Good"/>
  </r>
  <r>
    <n v="600"/>
    <x v="531"/>
    <x v="581"/>
    <n v="3"/>
    <s v="urgent"/>
    <x v="2"/>
    <x v="11"/>
    <n v="75"/>
    <n v="9.99"/>
    <n v="5.1100000000000003"/>
    <x v="0"/>
    <n v="86"/>
    <n v="160"/>
    <n v="51"/>
    <n v="60"/>
    <s v="Good"/>
  </r>
  <r>
    <n v="601"/>
    <x v="532"/>
    <x v="582"/>
    <n v="4"/>
    <s v="elective"/>
    <x v="3"/>
    <x v="7"/>
    <n v="81"/>
    <n v="8.44"/>
    <n v="4.47"/>
    <x v="0"/>
    <n v="83"/>
    <n v="174"/>
    <n v="85"/>
    <n v="63"/>
    <s v="Good"/>
  </r>
  <r>
    <n v="602"/>
    <x v="533"/>
    <x v="583"/>
    <n v="6"/>
    <s v="elective"/>
    <x v="1"/>
    <x v="0"/>
    <n v="66"/>
    <n v="3.57"/>
    <n v="2.34"/>
    <x v="0"/>
    <n v="80"/>
    <n v="170"/>
    <n v="83"/>
    <n v="60"/>
    <s v="Good"/>
  </r>
  <r>
    <n v="603"/>
    <x v="534"/>
    <x v="584"/>
    <n v="6"/>
    <s v="elective"/>
    <x v="2"/>
    <x v="0"/>
    <n v="75"/>
    <n v="5.18"/>
    <n v="2.35"/>
    <x v="0"/>
    <n v="75"/>
    <n v="169"/>
    <n v="80"/>
    <n v="55"/>
    <s v="Good"/>
  </r>
  <r>
    <n v="604"/>
    <x v="535"/>
    <x v="585"/>
    <n v="3"/>
    <s v="elective"/>
    <x v="2"/>
    <x v="11"/>
    <n v="69"/>
    <n v="1.7"/>
    <n v="0.72"/>
    <x v="0"/>
    <n v="71"/>
    <n v="177"/>
    <n v="95"/>
    <n v="20"/>
    <s v="Very Poor"/>
  </r>
  <r>
    <n v="605"/>
    <x v="536"/>
    <x v="586"/>
    <n v="4"/>
    <s v="elective"/>
    <x v="3"/>
    <x v="7"/>
    <n v="62"/>
    <n v="3.46"/>
    <n v="4.0199999999999996"/>
    <x v="0"/>
    <n v="80"/>
    <n v="154"/>
    <n v="56"/>
    <n v="51"/>
    <s v="Moderate"/>
  </r>
  <r>
    <n v="606"/>
    <x v="537"/>
    <x v="587"/>
    <n v="5"/>
    <s v="elective"/>
    <x v="0"/>
    <x v="8"/>
    <n v="65"/>
    <n v="3.07"/>
    <n v="1.24"/>
    <x v="0"/>
    <n v="81"/>
    <n v="165"/>
    <n v="91"/>
    <n v="55"/>
    <s v="Good"/>
  </r>
  <r>
    <n v="607"/>
    <x v="538"/>
    <x v="588"/>
    <n v="3"/>
    <s v="urgent"/>
    <x v="3"/>
    <x v="8"/>
    <n v="68"/>
    <n v="1.59"/>
    <n v="0.86"/>
    <x v="0"/>
    <n v="151"/>
    <n v="163"/>
    <n v="65"/>
    <n v="55"/>
    <s v="Good"/>
  </r>
  <r>
    <n v="608"/>
    <x v="539"/>
    <x v="589"/>
    <n v="5"/>
    <s v="urgent"/>
    <x v="0"/>
    <x v="2"/>
    <n v="58"/>
    <n v="2.27"/>
    <n v="4.58"/>
    <x v="0"/>
    <n v="91"/>
    <n v="177"/>
    <n v="71"/>
    <n v="30"/>
    <s v="Poor"/>
  </r>
  <r>
    <n v="609"/>
    <x v="540"/>
    <x v="590"/>
    <n v="5"/>
    <s v="elective"/>
    <x v="3"/>
    <x v="2"/>
    <n v="71"/>
    <n v="13.42"/>
    <n v="5.2"/>
    <x v="0"/>
    <n v="69"/>
    <n v="184"/>
    <n v="125"/>
    <n v="55"/>
    <s v="Good"/>
  </r>
  <r>
    <n v="610"/>
    <x v="541"/>
    <x v="591"/>
    <n v="3"/>
    <s v="elective"/>
    <x v="0"/>
    <x v="8"/>
    <n v="64"/>
    <n v="2.88"/>
    <n v="0.7"/>
    <x v="0"/>
    <n v="83"/>
    <n v="170"/>
    <n v="67"/>
    <n v="20"/>
    <s v="Very Poor"/>
  </r>
  <r>
    <n v="611"/>
    <x v="542"/>
    <x v="592"/>
    <n v="6"/>
    <s v="elective"/>
    <x v="0"/>
    <x v="8"/>
    <n v="74"/>
    <n v="3.99"/>
    <n v="0.83"/>
    <x v="0"/>
    <n v="89"/>
    <n v="169"/>
    <n v="87"/>
    <n v="55"/>
    <s v="Good"/>
  </r>
  <r>
    <n v="612"/>
    <x v="543"/>
    <x v="593"/>
    <n v="3"/>
    <s v="urgent"/>
    <x v="2"/>
    <x v="11"/>
    <n v="72"/>
    <n v="3.52"/>
    <n v="1.25"/>
    <x v="0"/>
    <n v="87"/>
    <n v="159"/>
    <n v="57"/>
    <n v="65"/>
    <s v="Good"/>
  </r>
  <r>
    <n v="613"/>
    <x v="544"/>
    <x v="594"/>
    <n v="5"/>
    <s v="urgent"/>
    <x v="2"/>
    <x v="1"/>
    <n v="64"/>
    <n v="1.85"/>
    <n v="1.41"/>
    <x v="0"/>
    <n v="91"/>
    <n v="152"/>
    <n v="48"/>
    <n v="51"/>
    <s v="Good"/>
  </r>
  <r>
    <n v="614"/>
    <x v="545"/>
    <x v="595"/>
    <n v="4"/>
    <s v="elective"/>
    <x v="4"/>
    <x v="15"/>
    <n v="77"/>
    <n v="13.92"/>
    <n v="3.55"/>
    <x v="0"/>
    <n v="65"/>
    <n v="170"/>
    <n v="91"/>
    <n v="68"/>
    <s v="Good"/>
  </r>
  <r>
    <n v="615"/>
    <x v="546"/>
    <x v="596"/>
    <n v="6"/>
    <s v="elective"/>
    <x v="3"/>
    <x v="7"/>
    <n v="85"/>
    <n v="7.96"/>
    <n v="4.46"/>
    <x v="0"/>
    <n v="85"/>
    <n v="160"/>
    <n v="52"/>
    <n v="63"/>
    <s v="Good"/>
  </r>
  <r>
    <n v="616"/>
    <x v="547"/>
    <x v="597"/>
    <n v="3"/>
    <s v="urgent"/>
    <x v="2"/>
    <x v="11"/>
    <n v="64"/>
    <n v="3.15"/>
    <n v="1.36"/>
    <x v="0"/>
    <n v="90"/>
    <n v="166"/>
    <n v="80"/>
    <n v="25"/>
    <s v="Poor"/>
  </r>
  <r>
    <n v="617"/>
    <x v="546"/>
    <x v="598"/>
    <n v="5"/>
    <s v="elective"/>
    <x v="2"/>
    <x v="1"/>
    <n v="74"/>
    <n v="7.08"/>
    <n v="2.16"/>
    <x v="0"/>
    <n v="62"/>
    <n v="171"/>
    <n v="79"/>
    <n v="20"/>
    <s v="Very Poor"/>
  </r>
  <r>
    <n v="618"/>
    <x v="548"/>
    <x v="599"/>
    <n v="4"/>
    <s v="elective"/>
    <x v="0"/>
    <x v="15"/>
    <n v="73"/>
    <n v="5.13"/>
    <n v="1.21"/>
    <x v="0"/>
    <n v="70"/>
    <n v="175"/>
    <n v="96"/>
    <n v="55"/>
    <s v="Good"/>
  </r>
  <r>
    <n v="619"/>
    <x v="549"/>
    <x v="600"/>
    <n v="5"/>
    <s v="urgent"/>
    <x v="3"/>
    <x v="11"/>
    <n v="61"/>
    <n v="4.38"/>
    <n v="3.45"/>
    <x v="0"/>
    <n v="70"/>
    <n v="162"/>
    <n v="77"/>
    <n v="60"/>
    <s v="Good"/>
  </r>
  <r>
    <n v="620"/>
    <x v="550"/>
    <x v="601"/>
    <n v="3"/>
    <s v="elective"/>
    <x v="0"/>
    <x v="15"/>
    <n v="64"/>
    <n v="2.09"/>
    <n v="0.96"/>
    <x v="0"/>
    <n v="78"/>
    <n v="166"/>
    <n v="116"/>
    <n v="42"/>
    <s v="Moderate"/>
  </r>
  <r>
    <n v="621"/>
    <x v="551"/>
    <x v="602"/>
    <n v="5"/>
    <s v="elective"/>
    <x v="2"/>
    <x v="11"/>
    <n v="72"/>
    <n v="2.0699999999999998"/>
    <n v="0.78"/>
    <x v="0"/>
    <n v="72"/>
    <n v="170"/>
    <n v="131"/>
    <n v="65"/>
    <s v="Good"/>
  </r>
  <r>
    <n v="622"/>
    <x v="552"/>
    <x v="603"/>
    <n v="5"/>
    <s v="elective"/>
    <x v="2"/>
    <x v="11"/>
    <n v="73"/>
    <n v="3.05"/>
    <n v="1.35"/>
    <x v="0"/>
    <n v="75"/>
    <n v="173"/>
    <n v="74"/>
    <n v="60"/>
    <s v="Good"/>
  </r>
  <r>
    <n v="623"/>
    <x v="553"/>
    <x v="604"/>
    <n v="4"/>
    <s v="elective"/>
    <x v="0"/>
    <x v="6"/>
    <n v="85"/>
    <n v="12.4"/>
    <n v="3.79"/>
    <x v="0"/>
    <n v="135"/>
    <n v="170"/>
    <n v="73"/>
    <n v="52"/>
    <s v="Good"/>
  </r>
  <r>
    <n v="624"/>
    <x v="554"/>
    <x v="605"/>
    <n v="4"/>
    <s v="elective"/>
    <x v="0"/>
    <x v="6"/>
    <n v="78"/>
    <n v="13.94"/>
    <n v="3.33"/>
    <x v="0"/>
    <n v="78"/>
    <n v="168"/>
    <n v="78"/>
    <n v="41"/>
    <s v="Moderate"/>
  </r>
  <r>
    <n v="625"/>
    <x v="555"/>
    <x v="606"/>
    <n v="5"/>
    <s v="elective"/>
    <x v="2"/>
    <x v="11"/>
    <n v="69"/>
    <n v="2.76"/>
    <n v="0.87"/>
    <x v="0"/>
    <n v="87"/>
    <n v="170"/>
    <n v="80"/>
    <n v="55"/>
    <s v="Good"/>
  </r>
  <r>
    <n v="626"/>
    <x v="556"/>
    <x v="607"/>
    <n v="4"/>
    <s v="emergency"/>
    <x v="2"/>
    <x v="2"/>
    <n v="55"/>
    <n v="1.78"/>
    <n v="1.01"/>
    <x v="0"/>
    <n v="122"/>
    <n v="147"/>
    <n v="75"/>
    <n v="25"/>
    <s v="Poor"/>
  </r>
  <r>
    <n v="627"/>
    <x v="557"/>
    <x v="608"/>
    <n v="3"/>
    <s v="elective"/>
    <x v="1"/>
    <x v="3"/>
    <n v="72"/>
    <n v="3.51"/>
    <n v="4.67"/>
    <x v="0"/>
    <n v="91"/>
    <n v="157"/>
    <n v="82"/>
    <n v="42"/>
    <s v="Moderate"/>
  </r>
  <r>
    <n v="628"/>
    <x v="557"/>
    <x v="609"/>
    <n v="4"/>
    <s v="elective"/>
    <x v="4"/>
    <x v="1"/>
    <n v="80"/>
    <n v="16.5"/>
    <n v="4.3099999999999996"/>
    <x v="0"/>
    <n v="165"/>
    <n v="180"/>
    <n v="110"/>
    <n v="65"/>
    <s v="Good"/>
  </r>
  <r>
    <n v="629"/>
    <x v="558"/>
    <x v="610"/>
    <n v="2"/>
    <s v="elective"/>
    <x v="3"/>
    <x v="12"/>
    <n v="47"/>
    <n v="9.01"/>
    <n v="5.38"/>
    <x v="0"/>
    <n v="67"/>
    <n v="179"/>
    <n v="61"/>
    <n v="55"/>
    <s v="Good"/>
  </r>
  <r>
    <n v="630"/>
    <x v="557"/>
    <x v="611"/>
    <n v="4"/>
    <s v="elective"/>
    <x v="3"/>
    <x v="15"/>
    <n v="70"/>
    <n v="4.24"/>
    <n v="2.41"/>
    <x v="0"/>
    <n v="107"/>
    <n v="183"/>
    <n v="84"/>
    <n v="35"/>
    <s v="Moderate"/>
  </r>
  <r>
    <n v="631"/>
    <x v="559"/>
    <x v="612"/>
    <n v="2"/>
    <s v="emergency"/>
    <x v="4"/>
    <x v="1"/>
    <n v="40"/>
    <n v="12.15"/>
    <n v="4.04"/>
    <x v="0"/>
    <n v="81"/>
    <n v="184"/>
    <n v="114"/>
    <n v="27"/>
    <s v="Poor"/>
  </r>
  <r>
    <n v="632"/>
    <x v="560"/>
    <x v="613"/>
    <n v="3"/>
    <s v="urgent"/>
    <x v="2"/>
    <x v="3"/>
    <n v="73"/>
    <n v="5.6"/>
    <n v="2.11"/>
    <x v="0"/>
    <n v="121"/>
    <n v="157"/>
    <n v="67"/>
    <n v="43"/>
    <s v="Moderate"/>
  </r>
  <r>
    <n v="633"/>
    <x v="561"/>
    <x v="614"/>
    <n v="3"/>
    <s v="elective"/>
    <x v="4"/>
    <x v="4"/>
    <n v="55"/>
    <n v="6.35"/>
    <n v="2.72"/>
    <x v="0"/>
    <n v="78"/>
    <n v="159"/>
    <n v="58"/>
    <n v="50"/>
    <s v="Moderate"/>
  </r>
  <r>
    <n v="634"/>
    <x v="561"/>
    <x v="615"/>
    <n v="5"/>
    <s v="elective"/>
    <x v="3"/>
    <x v="3"/>
    <n v="68"/>
    <n v="5.09"/>
    <n v="3.68"/>
    <x v="0"/>
    <n v="79"/>
    <n v="170"/>
    <n v="61"/>
    <n v="62"/>
    <s v="Good"/>
  </r>
  <r>
    <n v="635"/>
    <x v="562"/>
    <x v="616"/>
    <n v="4"/>
    <s v="urgent"/>
    <x v="0"/>
    <x v="2"/>
    <n v="44"/>
    <n v="5.44"/>
    <n v="7.6"/>
    <x v="0"/>
    <n v="68"/>
    <n v="175"/>
    <n v="74"/>
    <n v="35"/>
    <s v="Moderate"/>
  </r>
  <r>
    <n v="636"/>
    <x v="557"/>
    <x v="617"/>
    <n v="6"/>
    <s v="elective"/>
    <x v="3"/>
    <x v="1"/>
    <n v="72"/>
    <n v="4.8099999999999996"/>
    <n v="2.0299999999999998"/>
    <x v="0"/>
    <n v="61"/>
    <n v="190"/>
    <n v="120"/>
    <n v="55"/>
    <s v="Good"/>
  </r>
  <r>
    <n v="637"/>
    <x v="563"/>
    <x v="618"/>
    <n v="1"/>
    <s v="emergency"/>
    <x v="4"/>
    <x v="11"/>
    <n v="76"/>
    <n v="30.05"/>
    <n v="4.1100000000000003"/>
    <x v="0"/>
    <n v="85"/>
    <n v="156"/>
    <n v="57"/>
    <n v="55"/>
    <s v="Good"/>
  </r>
  <r>
    <n v="638"/>
    <x v="564"/>
    <x v="619"/>
    <n v="4"/>
    <s v="elective"/>
    <x v="0"/>
    <x v="2"/>
    <n v="82"/>
    <n v="8.9700000000000006"/>
    <n v="4.0199999999999996"/>
    <x v="0"/>
    <n v="185"/>
    <n v="182"/>
    <n v="95"/>
    <n v="17"/>
    <s v="Very Poor"/>
  </r>
  <r>
    <n v="639"/>
    <x v="565"/>
    <x v="620"/>
    <n v="3"/>
    <s v="elective"/>
    <x v="2"/>
    <x v="4"/>
    <n v="69"/>
    <n v="3.23"/>
    <n v="2.09"/>
    <x v="0"/>
    <n v="71"/>
    <n v="174"/>
    <n v="85"/>
    <n v="51"/>
    <s v="Good"/>
  </r>
  <r>
    <n v="640"/>
    <x v="566"/>
    <x v="621"/>
    <n v="6"/>
    <s v="elective"/>
    <x v="4"/>
    <x v="1"/>
    <n v="61"/>
    <n v="7.19"/>
    <n v="1.23"/>
    <x v="0"/>
    <n v="91"/>
    <n v="155"/>
    <n v="56"/>
    <n v="53"/>
    <s v="Good"/>
  </r>
  <r>
    <n v="641"/>
    <x v="565"/>
    <x v="622"/>
    <n v="5"/>
    <s v="elective"/>
    <x v="2"/>
    <x v="3"/>
    <n v="53"/>
    <n v="2.54"/>
    <n v="2.21"/>
    <x v="0"/>
    <n v="61"/>
    <n v="156"/>
    <n v="66"/>
    <n v="65"/>
    <s v="Good"/>
  </r>
  <r>
    <n v="642"/>
    <x v="567"/>
    <x v="623"/>
    <n v="6"/>
    <s v="elective"/>
    <x v="0"/>
    <x v="0"/>
    <n v="50"/>
    <n v="1.51"/>
    <n v="0.5"/>
    <x v="0"/>
    <n v="95"/>
    <n v="173"/>
    <n v="84"/>
    <n v="73"/>
    <s v="Good"/>
  </r>
  <r>
    <n v="643"/>
    <x v="568"/>
    <x v="623"/>
    <n v="3"/>
    <s v="urgent"/>
    <x v="2"/>
    <x v="16"/>
    <n v="58"/>
    <n v="3.15"/>
    <n v="1.93"/>
    <x v="0"/>
    <n v="75"/>
    <n v="165"/>
    <n v="57"/>
    <n v="66"/>
    <s v="Good"/>
  </r>
  <r>
    <n v="644"/>
    <x v="569"/>
    <x v="624"/>
    <n v="6"/>
    <s v="elective"/>
    <x v="2"/>
    <x v="0"/>
    <n v="54"/>
    <n v="0.88"/>
    <n v="0.5"/>
    <x v="0"/>
    <n v="91"/>
    <n v="170"/>
    <n v="85"/>
    <n v="20"/>
    <s v="Very Poor"/>
  </r>
  <r>
    <n v="645"/>
    <x v="570"/>
    <x v="625"/>
    <n v="3"/>
    <s v="elective"/>
    <x v="2"/>
    <x v="1"/>
    <n v="76"/>
    <n v="2.69"/>
    <n v="1.07"/>
    <x v="0"/>
    <n v="65"/>
    <n v="170"/>
    <n v="93"/>
    <n v="44"/>
    <s v="Moderate"/>
  </r>
  <r>
    <n v="646"/>
    <x v="570"/>
    <x v="626"/>
    <n v="5"/>
    <s v="elective"/>
    <x v="0"/>
    <x v="2"/>
    <n v="62"/>
    <n v="2.5299999999999998"/>
    <n v="2.2999999999999998"/>
    <x v="0"/>
    <n v="67"/>
    <n v="158"/>
    <n v="65"/>
    <n v="55"/>
    <s v="Good"/>
  </r>
  <r>
    <n v="647"/>
    <x v="571"/>
    <x v="627"/>
    <n v="6"/>
    <s v="elective"/>
    <x v="0"/>
    <x v="6"/>
    <n v="48"/>
    <n v="3.37"/>
    <n v="3.33"/>
    <x v="0"/>
    <n v="96"/>
    <n v="155"/>
    <n v="68"/>
    <n v="34"/>
    <s v="Moderate"/>
  </r>
  <r>
    <n v="648"/>
    <x v="572"/>
    <x v="628"/>
    <n v="4"/>
    <s v="urgent"/>
    <x v="3"/>
    <x v="12"/>
    <n v="88"/>
    <n v="15.41"/>
    <n v="8.9499999999999993"/>
    <x v="0"/>
    <n v="76"/>
    <n v="175"/>
    <n v="78"/>
    <n v="55"/>
    <s v="Good"/>
  </r>
  <r>
    <n v="649"/>
    <x v="573"/>
    <x v="629"/>
    <n v="1"/>
    <s v="emergency"/>
    <x v="0"/>
    <x v="2"/>
    <n v="64"/>
    <n v="29.7"/>
    <n v="3.25"/>
    <x v="0"/>
    <n v="164"/>
    <n v="165"/>
    <n v="63"/>
    <n v="53"/>
    <s v="Good"/>
  </r>
  <r>
    <n v="650"/>
    <x v="574"/>
    <x v="630"/>
    <n v="3"/>
    <s v="elective"/>
    <x v="2"/>
    <x v="16"/>
    <n v="76"/>
    <n v="2.69"/>
    <n v="1.07"/>
    <x v="0"/>
    <n v="65"/>
    <n v="175"/>
    <n v="87"/>
    <n v="55"/>
    <s v="Good"/>
  </r>
  <r>
    <n v="651"/>
    <x v="575"/>
    <x v="631"/>
    <n v="4"/>
    <s v="elective"/>
    <x v="2"/>
    <x v="11"/>
    <n v="61"/>
    <n v="1.39"/>
    <n v="0.71"/>
    <x v="0"/>
    <n v="71"/>
    <n v="163"/>
    <n v="85"/>
    <n v="51"/>
    <s v="Good"/>
  </r>
  <r>
    <n v="652"/>
    <x v="576"/>
    <x v="632"/>
    <n v="4"/>
    <s v="urgent"/>
    <x v="2"/>
    <x v="11"/>
    <n v="80"/>
    <n v="9.24"/>
    <n v="4.33"/>
    <x v="0"/>
    <n v="84"/>
    <n v="164"/>
    <n v="95"/>
    <n v="50"/>
    <s v="Moderate"/>
  </r>
  <r>
    <n v="653"/>
    <x v="577"/>
    <x v="633"/>
    <n v="3"/>
    <s v="elective"/>
    <x v="0"/>
    <x v="16"/>
    <n v="69"/>
    <n v="2.89"/>
    <n v="0.72"/>
    <x v="0"/>
    <n v="102"/>
    <n v="172"/>
    <n v="74"/>
    <n v="58"/>
    <s v="Good"/>
  </r>
  <r>
    <n v="654"/>
    <x v="578"/>
    <x v="634"/>
    <n v="5"/>
    <s v="elective"/>
    <x v="2"/>
    <x v="4"/>
    <n v="67"/>
    <n v="6.34"/>
    <n v="2.8"/>
    <x v="0"/>
    <n v="66"/>
    <n v="163"/>
    <n v="62"/>
    <n v="50"/>
    <s v="Moderate"/>
  </r>
  <r>
    <n v="655"/>
    <x v="579"/>
    <x v="635"/>
    <n v="5"/>
    <s v="urgent"/>
    <x v="2"/>
    <x v="4"/>
    <n v="64"/>
    <n v="5.9"/>
    <n v="2.77"/>
    <x v="0"/>
    <n v="77"/>
    <n v="168"/>
    <n v="79"/>
    <n v="18"/>
    <s v="Very Poor"/>
  </r>
  <r>
    <n v="656"/>
    <x v="580"/>
    <x v="636"/>
    <n v="4"/>
    <s v="elective"/>
    <x v="0"/>
    <x v="12"/>
    <n v="63"/>
    <n v="1.96"/>
    <n v="1.04"/>
    <x v="0"/>
    <n v="116"/>
    <n v="165"/>
    <n v="62"/>
    <n v="57"/>
    <s v="Good"/>
  </r>
  <r>
    <n v="657"/>
    <x v="581"/>
    <x v="637"/>
    <n v="2"/>
    <s v="elective"/>
    <x v="2"/>
    <x v="15"/>
    <n v="72"/>
    <n v="2.0699999999999998"/>
    <n v="1.81"/>
    <x v="0"/>
    <n v="109"/>
    <n v="159"/>
    <n v="79"/>
    <n v="70"/>
    <s v="Good"/>
  </r>
  <r>
    <n v="658"/>
    <x v="580"/>
    <x v="638"/>
    <n v="6"/>
    <s v="elective"/>
    <x v="3"/>
    <x v="1"/>
    <n v="84"/>
    <n v="13.48"/>
    <n v="23.42"/>
    <x v="0"/>
    <n v="80"/>
    <n v="183"/>
    <n v="101"/>
    <n v="26"/>
    <s v="Poor"/>
  </r>
  <r>
    <n v="659"/>
    <x v="582"/>
    <x v="639"/>
    <n v="5"/>
    <s v="elective"/>
    <x v="3"/>
    <x v="6"/>
    <n v="75"/>
    <n v="4.25"/>
    <n v="2.2799999999999998"/>
    <x v="0"/>
    <n v="64"/>
    <n v="172"/>
    <n v="75"/>
    <n v="69"/>
    <s v="Good"/>
  </r>
  <r>
    <n v="660"/>
    <x v="583"/>
    <x v="640"/>
    <n v="2"/>
    <s v="urgent"/>
    <x v="2"/>
    <x v="15"/>
    <n v="72"/>
    <n v="3.52"/>
    <n v="1.56"/>
    <x v="0"/>
    <n v="70"/>
    <n v="180"/>
    <n v="70"/>
    <n v="52"/>
    <s v="Good"/>
  </r>
  <r>
    <n v="661"/>
    <x v="584"/>
    <x v="641"/>
    <n v="4"/>
    <s v="elective"/>
    <x v="0"/>
    <x v="12"/>
    <n v="70"/>
    <n v="3.08"/>
    <n v="0.74"/>
    <x v="0"/>
    <n v="106"/>
    <n v="184"/>
    <n v="91"/>
    <n v="67"/>
    <s v="Good"/>
  </r>
  <r>
    <n v="662"/>
    <x v="585"/>
    <x v="642"/>
    <n v="6"/>
    <s v="elective"/>
    <x v="4"/>
    <x v="1"/>
    <n v="53"/>
    <n v="17.63"/>
    <n v="4.57"/>
    <x v="0"/>
    <n v="81"/>
    <n v="167"/>
    <n v="85"/>
    <n v="55"/>
    <s v="Good"/>
  </r>
  <r>
    <n v="663"/>
    <x v="586"/>
    <x v="643"/>
    <n v="5"/>
    <s v="urgent"/>
    <x v="2"/>
    <x v="6"/>
    <n v="77"/>
    <n v="7.19"/>
    <n v="2.64"/>
    <x v="0"/>
    <n v="103"/>
    <n v="177"/>
    <n v="84"/>
    <n v="42"/>
    <s v="Moderate"/>
  </r>
  <r>
    <n v="664"/>
    <x v="587"/>
    <x v="644"/>
    <n v="4"/>
    <s v="emergency"/>
    <x v="2"/>
    <x v="1"/>
    <n v="59"/>
    <n v="28.98"/>
    <n v="24.94"/>
    <x v="0"/>
    <n v="70"/>
    <n v="180"/>
    <n v="98"/>
    <n v="50"/>
    <s v="Moderate"/>
  </r>
  <r>
    <n v="665"/>
    <x v="588"/>
    <x v="645"/>
    <n v="6"/>
    <s v="elective"/>
    <x v="3"/>
    <x v="4"/>
    <n v="64"/>
    <n v="2.88"/>
    <n v="2.4300000000000002"/>
    <x v="0"/>
    <n v="79"/>
    <n v="176"/>
    <n v="74"/>
    <n v="48"/>
    <s v="Moderate"/>
  </r>
  <r>
    <n v="666"/>
    <x v="589"/>
    <x v="646"/>
    <n v="4"/>
    <s v="elective"/>
    <x v="4"/>
    <x v="0"/>
    <n v="66"/>
    <n v="7.21"/>
    <n v="3.25"/>
    <x v="0"/>
    <n v="61"/>
    <n v="171"/>
    <n v="70"/>
    <n v="70"/>
    <s v="Good"/>
  </r>
  <r>
    <n v="667"/>
    <x v="590"/>
    <x v="647"/>
    <n v="5"/>
    <s v="urgent"/>
    <x v="4"/>
    <x v="3"/>
    <n v="78"/>
    <n v="37.46"/>
    <n v="9.68"/>
    <x v="1"/>
    <n v="62"/>
    <n v="157"/>
    <n v="67"/>
    <n v="55"/>
    <s v="Good"/>
  </r>
  <r>
    <n v="668"/>
    <x v="591"/>
    <x v="648"/>
    <n v="3"/>
    <s v="elective"/>
    <x v="0"/>
    <x v="16"/>
    <n v="80"/>
    <n v="5.83"/>
    <n v="0.98"/>
    <x v="0"/>
    <n v="93"/>
    <n v="176"/>
    <n v="92"/>
    <n v="55"/>
    <s v="Good"/>
  </r>
  <r>
    <n v="669"/>
    <x v="592"/>
    <x v="649"/>
    <n v="3"/>
    <s v="urgent"/>
    <x v="2"/>
    <x v="16"/>
    <n v="59"/>
    <n v="0.88"/>
    <n v="0.77"/>
    <x v="0"/>
    <n v="105"/>
    <n v="178"/>
    <n v="87"/>
    <n v="54"/>
    <s v="Good"/>
  </r>
  <r>
    <n v="670"/>
    <x v="593"/>
    <x v="650"/>
    <n v="5"/>
    <s v="elective"/>
    <x v="2"/>
    <x v="3"/>
    <n v="76"/>
    <n v="10.26"/>
    <n v="7.59"/>
    <x v="0"/>
    <n v="95"/>
    <n v="175"/>
    <n v="67"/>
    <n v="51"/>
    <s v="Good"/>
  </r>
  <r>
    <n v="671"/>
    <x v="594"/>
    <x v="651"/>
    <n v="6"/>
    <s v="elective"/>
    <x v="2"/>
    <x v="4"/>
    <n v="72"/>
    <n v="3.11"/>
    <n v="0.96"/>
    <x v="0"/>
    <n v="126"/>
    <n v="182"/>
    <n v="93"/>
    <n v="55"/>
    <s v="Good"/>
  </r>
  <r>
    <n v="672"/>
    <x v="595"/>
    <x v="652"/>
    <n v="5"/>
    <s v="elective"/>
    <x v="0"/>
    <x v="2"/>
    <n v="80"/>
    <n v="15.66"/>
    <n v="5.03"/>
    <x v="0"/>
    <n v="62"/>
    <n v="176"/>
    <n v="74"/>
    <n v="60"/>
    <s v="Good"/>
  </r>
  <r>
    <n v="673"/>
    <x v="596"/>
    <x v="653"/>
    <n v="2"/>
    <s v="elective"/>
    <x v="0"/>
    <x v="12"/>
    <n v="60"/>
    <n v="3.65"/>
    <n v="1.01"/>
    <x v="0"/>
    <n v="100"/>
    <n v="170"/>
    <n v="70"/>
    <n v="58"/>
    <s v="Good"/>
  </r>
  <r>
    <n v="674"/>
    <x v="597"/>
    <x v="654"/>
    <n v="4"/>
    <s v="elective"/>
    <x v="2"/>
    <x v="15"/>
    <n v="53"/>
    <n v="2.87"/>
    <n v="1.57"/>
    <x v="0"/>
    <n v="97"/>
    <n v="168"/>
    <n v="89"/>
    <n v="51"/>
    <s v="Good"/>
  </r>
  <r>
    <n v="675"/>
    <x v="598"/>
    <x v="654"/>
    <n v="6"/>
    <s v="urgent"/>
    <x v="3"/>
    <x v="11"/>
    <n v="66"/>
    <n v="4.4800000000000004"/>
    <n v="3.16"/>
    <x v="0"/>
    <n v="79"/>
    <n v="177"/>
    <n v="96"/>
    <n v="55"/>
    <s v="Good"/>
  </r>
  <r>
    <n v="676"/>
    <x v="599"/>
    <x v="655"/>
    <n v="2"/>
    <s v="elective"/>
    <x v="0"/>
    <x v="12"/>
    <n v="78"/>
    <n v="5.14"/>
    <n v="1.25"/>
    <x v="0"/>
    <n v="83"/>
    <n v="172"/>
    <n v="99"/>
    <n v="35"/>
    <s v="Moderate"/>
  </r>
  <r>
    <n v="677"/>
    <x v="600"/>
    <x v="656"/>
    <n v="5"/>
    <s v="elective"/>
    <x v="0"/>
    <x v="2"/>
    <n v="62"/>
    <n v="5.19"/>
    <n v="5.32"/>
    <x v="0"/>
    <n v="80"/>
    <n v="168"/>
    <n v="100"/>
    <n v="55"/>
    <s v="Good"/>
  </r>
  <r>
    <n v="678"/>
    <x v="601"/>
    <x v="657"/>
    <n v="4"/>
    <s v="urgent"/>
    <x v="2"/>
    <x v="15"/>
    <n v="64"/>
    <n v="2.1"/>
    <n v="1"/>
    <x v="0"/>
    <n v="79"/>
    <n v="158"/>
    <n v="68"/>
    <n v="25"/>
    <s v="Poor"/>
  </r>
  <r>
    <n v="679"/>
    <x v="602"/>
    <x v="658"/>
    <n v="2"/>
    <s v="elective"/>
    <x v="0"/>
    <x v="12"/>
    <n v="68"/>
    <n v="4.0599999999999996"/>
    <n v="2.79"/>
    <x v="0"/>
    <n v="131"/>
    <n v="163"/>
    <n v="88"/>
    <n v="35"/>
    <s v="Moderate"/>
  </r>
  <r>
    <n v="680"/>
    <x v="603"/>
    <x v="659"/>
    <n v="6"/>
    <s v="urgent"/>
    <x v="2"/>
    <x v="11"/>
    <n v="66"/>
    <n v="13.1"/>
    <n v="8.26"/>
    <x v="0"/>
    <n v="86"/>
    <n v="164"/>
    <n v="77"/>
    <n v="70"/>
    <s v="Good"/>
  </r>
  <r>
    <n v="681"/>
    <x v="604"/>
    <x v="660"/>
    <n v="3"/>
    <s v="elective"/>
    <x v="0"/>
    <x v="6"/>
    <n v="81"/>
    <n v="6.21"/>
    <n v="1.22"/>
    <x v="0"/>
    <n v="76"/>
    <n v="160"/>
    <n v="101"/>
    <n v="35"/>
    <s v="Moderate"/>
  </r>
  <r>
    <n v="682"/>
    <x v="605"/>
    <x v="661"/>
    <n v="5"/>
    <s v="elective"/>
    <x v="2"/>
    <x v="1"/>
    <n v="65"/>
    <n v="1.81"/>
    <n v="0.8"/>
    <x v="0"/>
    <n v="130"/>
    <n v="163"/>
    <n v="82"/>
    <n v="25"/>
    <s v="Poor"/>
  </r>
  <r>
    <n v="683"/>
    <x v="606"/>
    <x v="662"/>
    <n v="6"/>
    <s v="urgent"/>
    <x v="2"/>
    <x v="11"/>
    <n v="61"/>
    <n v="1.72"/>
    <n v="0.82"/>
    <x v="0"/>
    <n v="68"/>
    <n v="179"/>
    <n v="91"/>
    <n v="29"/>
    <s v="Poor"/>
  </r>
  <r>
    <n v="684"/>
    <x v="607"/>
    <x v="663"/>
    <n v="4"/>
    <s v="urgent"/>
    <x v="0"/>
    <x v="7"/>
    <n v="78"/>
    <n v="40.89"/>
    <n v="17.23"/>
    <x v="0"/>
    <n v="91"/>
    <n v="171"/>
    <n v="81"/>
    <n v="53"/>
    <s v="Good"/>
  </r>
  <r>
    <n v="685"/>
    <x v="608"/>
    <x v="664"/>
    <n v="3"/>
    <s v="elective"/>
    <x v="3"/>
    <x v="6"/>
    <n v="77"/>
    <n v="11.21"/>
    <n v="2.29"/>
    <x v="0"/>
    <n v="86"/>
    <n v="151"/>
    <n v="71"/>
    <n v="65"/>
    <s v="Good"/>
  </r>
  <r>
    <n v="686"/>
    <x v="609"/>
    <x v="665"/>
    <n v="5"/>
    <s v="elective"/>
    <x v="2"/>
    <x v="1"/>
    <n v="52"/>
    <n v="2.2799999999999998"/>
    <n v="1.51"/>
    <x v="0"/>
    <n v="76"/>
    <n v="169"/>
    <n v="106"/>
    <n v="47"/>
    <s v="Moderate"/>
  </r>
  <r>
    <n v="687"/>
    <x v="610"/>
    <x v="666"/>
    <n v="6"/>
    <s v="elective"/>
    <x v="2"/>
    <x v="11"/>
    <n v="59"/>
    <n v="0.88"/>
    <n v="0.5"/>
    <x v="0"/>
    <n v="93"/>
    <n v="180"/>
    <n v="115"/>
    <n v="73"/>
    <s v="Good"/>
  </r>
  <r>
    <n v="688"/>
    <x v="611"/>
    <x v="667"/>
    <n v="5"/>
    <s v="urgent"/>
    <x v="2"/>
    <x v="16"/>
    <n v="79"/>
    <n v="8.6999999999999993"/>
    <n v="2.46"/>
    <x v="0"/>
    <n v="86"/>
    <n v="180"/>
    <n v="80"/>
    <n v="60"/>
    <s v="Good"/>
  </r>
  <r>
    <n v="689"/>
    <x v="612"/>
    <x v="668"/>
    <n v="4"/>
    <s v="urgent"/>
    <x v="0"/>
    <x v="4"/>
    <n v="69"/>
    <n v="3.98"/>
    <n v="3.16"/>
    <x v="0"/>
    <n v="69"/>
    <n v="170"/>
    <n v="90"/>
    <n v="60"/>
    <s v="Good"/>
  </r>
  <r>
    <n v="690"/>
    <x v="613"/>
    <x v="669"/>
    <n v="5"/>
    <s v="elective"/>
    <x v="3"/>
    <x v="16"/>
    <n v="74"/>
    <n v="3.99"/>
    <n v="1.42"/>
    <x v="0"/>
    <n v="80"/>
    <n v="153"/>
    <n v="58"/>
    <n v="45"/>
    <s v="Moderate"/>
  </r>
  <r>
    <n v="691"/>
    <x v="614"/>
    <x v="670"/>
    <n v="4"/>
    <s v="elective"/>
    <x v="2"/>
    <x v="4"/>
    <n v="75"/>
    <n v="2.52"/>
    <n v="1.1499999999999999"/>
    <x v="0"/>
    <n v="75"/>
    <n v="152"/>
    <n v="104"/>
    <n v="48"/>
    <s v="Moderate"/>
  </r>
  <r>
    <n v="692"/>
    <x v="615"/>
    <x v="671"/>
    <n v="5"/>
    <s v="elective"/>
    <x v="0"/>
    <x v="8"/>
    <n v="41"/>
    <n v="1.33"/>
    <n v="0.76"/>
    <x v="0"/>
    <n v="77"/>
    <n v="193"/>
    <n v="110"/>
    <n v="52"/>
    <s v="Good"/>
  </r>
  <r>
    <n v="694"/>
    <x v="616"/>
    <x v="672"/>
    <n v="5"/>
    <s v="elective"/>
    <x v="0"/>
    <x v="8"/>
    <n v="71"/>
    <n v="4.5199999999999996"/>
    <n v="0.95"/>
    <x v="0"/>
    <n v="95"/>
    <n v="170"/>
    <n v="70"/>
    <n v="55"/>
    <s v="Good"/>
  </r>
  <r>
    <n v="695"/>
    <x v="617"/>
    <x v="673"/>
    <n v="1"/>
    <s v="emergency"/>
    <x v="4"/>
    <x v="11"/>
    <n v="55"/>
    <n v="9.0399999999999991"/>
    <n v="4.8499999999999996"/>
    <x v="1"/>
    <n v="93"/>
    <n v="169"/>
    <n v="74"/>
    <n v="60"/>
    <s v="Good"/>
  </r>
  <r>
    <n v="696"/>
    <x v="618"/>
    <x v="674"/>
    <n v="5"/>
    <s v="elective"/>
    <x v="4"/>
    <x v="3"/>
    <n v="71"/>
    <n v="34.22"/>
    <n v="10.18"/>
    <x v="0"/>
    <n v="82"/>
    <n v="168"/>
    <n v="84"/>
    <n v="55"/>
    <s v="Good"/>
  </r>
  <r>
    <n v="697"/>
    <x v="619"/>
    <x v="675"/>
    <n v="3"/>
    <s v="elective"/>
    <x v="3"/>
    <x v="0"/>
    <n v="79"/>
    <n v="5.48"/>
    <n v="2.3199999999999998"/>
    <x v="0"/>
    <n v="74"/>
    <n v="160"/>
    <n v="54"/>
    <n v="50"/>
    <s v="Moderate"/>
  </r>
  <r>
    <n v="698"/>
    <x v="620"/>
    <x v="676"/>
    <n v="4"/>
    <s v="elective"/>
    <x v="3"/>
    <x v="12"/>
    <n v="77"/>
    <n v="6.59"/>
    <n v="6.58"/>
    <x v="0"/>
    <n v="65"/>
    <n v="175"/>
    <n v="78"/>
    <n v="55"/>
    <s v="Good"/>
  </r>
  <r>
    <n v="699"/>
    <x v="621"/>
    <x v="677"/>
    <n v="4"/>
    <s v="elective"/>
    <x v="0"/>
    <x v="12"/>
    <n v="71"/>
    <n v="7.81"/>
    <n v="2.91"/>
    <x v="0"/>
    <n v="76"/>
    <n v="169"/>
    <n v="96"/>
    <n v="60"/>
    <s v="Good"/>
  </r>
  <r>
    <n v="700"/>
    <x v="622"/>
    <x v="678"/>
    <n v="2"/>
    <s v="elective"/>
    <x v="4"/>
    <x v="1"/>
    <n v="49"/>
    <n v="6.9"/>
    <n v="1.31"/>
    <x v="0"/>
    <n v="81"/>
    <n v="174"/>
    <n v="83"/>
    <n v="40"/>
    <s v="Moderate"/>
  </r>
  <r>
    <n v="701"/>
    <x v="623"/>
    <x v="679"/>
    <n v="3"/>
    <s v="urgent"/>
    <x v="2"/>
    <x v="0"/>
    <n v="75"/>
    <n v="5.84"/>
    <n v="2.39"/>
    <x v="0"/>
    <n v="77"/>
    <n v="150"/>
    <n v="63"/>
    <n v="55"/>
    <s v="Good"/>
  </r>
  <r>
    <n v="702"/>
    <x v="624"/>
    <x v="680"/>
    <n v="5"/>
    <s v="elective"/>
    <x v="2"/>
    <x v="3"/>
    <n v="82"/>
    <n v="10.76"/>
    <n v="4.9800000000000004"/>
    <x v="0"/>
    <n v="72"/>
    <n v="178"/>
    <n v="63"/>
    <n v="70"/>
    <s v="Good"/>
  </r>
  <r>
    <n v="703"/>
    <x v="625"/>
    <x v="681"/>
    <n v="6"/>
    <s v="urgent"/>
    <x v="2"/>
    <x v="11"/>
    <n v="58"/>
    <n v="1.51"/>
    <n v="0.89"/>
    <x v="0"/>
    <n v="85"/>
    <n v="180"/>
    <n v="125"/>
    <n v="34"/>
    <s v="Moderate"/>
  </r>
  <r>
    <n v="704"/>
    <x v="626"/>
    <x v="682"/>
    <n v="4"/>
    <s v="elective"/>
    <x v="0"/>
    <x v="8"/>
    <n v="64"/>
    <n v="2.88"/>
    <n v="0.94"/>
    <x v="0"/>
    <n v="88"/>
    <n v="168"/>
    <n v="81"/>
    <n v="65"/>
    <s v="Good"/>
  </r>
  <r>
    <n v="705"/>
    <x v="627"/>
    <x v="683"/>
    <n v="3"/>
    <s v="urgent"/>
    <x v="0"/>
    <x v="7"/>
    <n v="72"/>
    <n v="5.24"/>
    <n v="2.29"/>
    <x v="0"/>
    <n v="105"/>
    <n v="171"/>
    <n v="80"/>
    <n v="60"/>
    <s v="Good"/>
  </r>
  <r>
    <n v="706"/>
    <x v="628"/>
    <x v="684"/>
    <n v="5"/>
    <s v="urgent"/>
    <x v="0"/>
    <x v="2"/>
    <n v="40"/>
    <n v="4.4000000000000004"/>
    <n v="1.27"/>
    <x v="0"/>
    <n v="103"/>
    <n v="164"/>
    <n v="50"/>
    <n v="24"/>
    <s v="Poor"/>
  </r>
  <r>
    <n v="707"/>
    <x v="629"/>
    <x v="685"/>
    <n v="2"/>
    <s v="elective"/>
    <x v="0"/>
    <x v="4"/>
    <n v="66"/>
    <n v="2.38"/>
    <n v="0.8"/>
    <x v="0"/>
    <n v="162"/>
    <n v="170"/>
    <n v="60"/>
    <n v="65"/>
    <s v="Good"/>
  </r>
  <r>
    <n v="708"/>
    <x v="630"/>
    <x v="686"/>
    <n v="2"/>
    <s v="elective"/>
    <x v="3"/>
    <x v="4"/>
    <n v="61"/>
    <n v="1.72"/>
    <n v="1.48"/>
    <x v="0"/>
    <n v="85"/>
    <n v="166"/>
    <n v="94"/>
    <n v="40"/>
    <s v="Moderate"/>
  </r>
  <r>
    <n v="709"/>
    <x v="631"/>
    <x v="687"/>
    <n v="4"/>
    <s v="elective"/>
    <x v="0"/>
    <x v="8"/>
    <n v="77"/>
    <n v="3.94"/>
    <n v="3.12"/>
    <x v="0"/>
    <n v="111"/>
    <n v="174"/>
    <n v="84"/>
    <n v="55"/>
    <s v="Good"/>
  </r>
  <r>
    <n v="710"/>
    <x v="632"/>
    <x v="688"/>
    <n v="1"/>
    <s v="elective"/>
    <x v="0"/>
    <x v="2"/>
    <n v="77"/>
    <n v="9.69"/>
    <n v="3.54"/>
    <x v="0"/>
    <n v="91"/>
    <n v="165"/>
    <n v="100"/>
    <n v="59"/>
    <s v="Good"/>
  </r>
  <r>
    <n v="711"/>
    <x v="633"/>
    <x v="689"/>
    <n v="5"/>
    <s v="emergency"/>
    <x v="2"/>
    <x v="15"/>
    <n v="60"/>
    <n v="7.3"/>
    <n v="5.26"/>
    <x v="0"/>
    <n v="90"/>
    <n v="171"/>
    <n v="80"/>
    <n v="51"/>
    <s v="Good"/>
  </r>
  <r>
    <n v="712"/>
    <x v="634"/>
    <x v="690"/>
    <n v="4"/>
    <s v="elective"/>
    <x v="3"/>
    <x v="15"/>
    <n v="72"/>
    <n v="3.51"/>
    <n v="2.37"/>
    <x v="0"/>
    <n v="73"/>
    <n v="180"/>
    <n v="95"/>
    <n v="59"/>
    <s v="Good"/>
  </r>
  <r>
    <n v="713"/>
    <x v="635"/>
    <x v="691"/>
    <n v="1"/>
    <s v="elective"/>
    <x v="0"/>
    <x v="12"/>
    <n v="75"/>
    <n v="8.59"/>
    <n v="3.72"/>
    <x v="0"/>
    <n v="16.100000000000001"/>
    <n v="173"/>
    <n v="83"/>
    <n v="60"/>
    <s v="Good"/>
  </r>
  <r>
    <n v="714"/>
    <x v="636"/>
    <x v="692"/>
    <n v="2"/>
    <s v="urgent"/>
    <x v="2"/>
    <x v="11"/>
    <n v="70"/>
    <n v="3.09"/>
    <n v="1.06"/>
    <x v="0"/>
    <n v="64"/>
    <n v="172"/>
    <n v="71"/>
    <n v="55"/>
    <s v="Good"/>
  </r>
  <r>
    <n v="715"/>
    <x v="637"/>
    <x v="693"/>
    <n v="5"/>
    <s v="elective"/>
    <x v="0"/>
    <x v="2"/>
    <n v="73"/>
    <n v="3.74"/>
    <n v="0.73"/>
    <x v="0"/>
    <n v="101"/>
    <n v="177"/>
    <n v="84"/>
    <n v="55"/>
    <s v="Good"/>
  </r>
  <r>
    <n v="716"/>
    <x v="638"/>
    <x v="694"/>
    <n v="1"/>
    <s v="elective"/>
    <x v="3"/>
    <x v="12"/>
    <n v="70"/>
    <n v="4.24"/>
    <n v="2.56"/>
    <x v="0"/>
    <n v="111"/>
    <n v="174"/>
    <n v="85"/>
    <n v="40"/>
    <s v="Moderate"/>
  </r>
  <r>
    <n v="717"/>
    <x v="639"/>
    <x v="695"/>
    <n v="2"/>
    <s v="elective"/>
    <x v="0"/>
    <x v="11"/>
    <n v="47"/>
    <n v="1.51"/>
    <n v="0.56000000000000005"/>
    <x v="0"/>
    <n v="82"/>
    <n v="166"/>
    <n v="94"/>
    <n v="58"/>
    <s v="Good"/>
  </r>
  <r>
    <n v="718"/>
    <x v="640"/>
    <x v="696"/>
    <n v="4"/>
    <s v="emergency"/>
    <x v="3"/>
    <x v="2"/>
    <n v="75"/>
    <n v="89.79"/>
    <n v="43.03"/>
    <x v="1"/>
    <n v="125"/>
    <n v="157"/>
    <n v="56"/>
    <n v="60"/>
    <s v="Good"/>
  </r>
  <r>
    <n v="719"/>
    <x v="641"/>
    <x v="697"/>
    <n v="2"/>
    <s v="urgent"/>
    <x v="2"/>
    <x v="15"/>
    <n v="74"/>
    <n v="5.48"/>
    <n v="2.04"/>
    <x v="0"/>
    <n v="123"/>
    <n v="180"/>
    <n v="109"/>
    <n v="31"/>
    <s v="Moderate"/>
  </r>
  <r>
    <n v="720"/>
    <x v="642"/>
    <x v="698"/>
    <n v="4"/>
    <s v="elective"/>
    <x v="2"/>
    <x v="7"/>
    <n v="71"/>
    <n v="1.94"/>
    <n v="0.76"/>
    <x v="0"/>
    <n v="108"/>
    <n v="184"/>
    <n v="95"/>
    <n v="55"/>
    <s v="Good"/>
  </r>
  <r>
    <n v="721"/>
    <x v="620"/>
    <x v="699"/>
    <n v="5"/>
    <s v="elective"/>
    <x v="0"/>
    <x v="12"/>
    <n v="78"/>
    <n v="5.14"/>
    <n v="2.17"/>
    <x v="0"/>
    <n v="78"/>
    <n v="171"/>
    <n v="98"/>
    <n v="55"/>
    <s v="Good"/>
  </r>
  <r>
    <n v="722"/>
    <x v="643"/>
    <x v="700"/>
    <n v="5"/>
    <s v="elective"/>
    <x v="0"/>
    <x v="12"/>
    <n v="77"/>
    <n v="7.67"/>
    <n v="3.84"/>
    <x v="0"/>
    <n v="87"/>
    <n v="153"/>
    <n v="86"/>
    <n v="55"/>
    <s v="Good"/>
  </r>
  <r>
    <n v="723"/>
    <x v="635"/>
    <x v="701"/>
    <n v="5"/>
    <s v="elective"/>
    <x v="0"/>
    <x v="15"/>
    <n v="74"/>
    <n v="3.99"/>
    <n v="1"/>
    <x v="0"/>
    <n v="87"/>
    <n v="175"/>
    <n v="106"/>
    <n v="55"/>
    <s v="Good"/>
  </r>
  <r>
    <n v="724"/>
    <x v="644"/>
    <x v="702"/>
    <n v="4"/>
    <s v="elective"/>
    <x v="0"/>
    <x v="7"/>
    <n v="72"/>
    <n v="4.8099999999999996"/>
    <n v="2.0099999999999998"/>
    <x v="0"/>
    <n v="75"/>
    <n v="165"/>
    <n v="52"/>
    <n v="55"/>
    <s v="Good"/>
  </r>
  <r>
    <n v="725"/>
    <x v="645"/>
    <x v="703"/>
    <n v="5"/>
    <s v="elective"/>
    <x v="2"/>
    <x v="15"/>
    <n v="80"/>
    <n v="4.7699999999999996"/>
    <n v="1.22"/>
    <x v="0"/>
    <n v="78"/>
    <n v="174"/>
    <n v="100"/>
    <n v="65"/>
    <s v="Good"/>
  </r>
  <r>
    <n v="726"/>
    <x v="646"/>
    <x v="704"/>
    <n v="4"/>
    <s v="elective"/>
    <x v="0"/>
    <x v="7"/>
    <n v="73"/>
    <n v="7.6"/>
    <n v="4.71"/>
    <x v="0"/>
    <n v="76"/>
    <n v="183"/>
    <n v="94"/>
    <n v="45"/>
    <s v="Moderate"/>
  </r>
  <r>
    <n v="727"/>
    <x v="647"/>
    <x v="705"/>
    <n v="5"/>
    <s v="elective"/>
    <x v="3"/>
    <x v="1"/>
    <n v="74"/>
    <n v="3.99"/>
    <n v="2.2200000000000002"/>
    <x v="0"/>
    <n v="64"/>
    <n v="184"/>
    <n v="85"/>
    <n v="40"/>
    <s v="Moderate"/>
  </r>
  <r>
    <n v="728"/>
    <x v="648"/>
    <x v="706"/>
    <n v="4"/>
    <s v="elective"/>
    <x v="0"/>
    <x v="6"/>
    <n v="76"/>
    <n v="6.19"/>
    <n v="4.3600000000000003"/>
    <x v="0"/>
    <n v="86"/>
    <n v="185"/>
    <n v="118"/>
    <n v="60"/>
    <s v="Good"/>
  </r>
  <r>
    <n v="729"/>
    <x v="649"/>
    <x v="707"/>
    <n v="4"/>
    <s v="elective"/>
    <x v="0"/>
    <x v="12"/>
    <n v="83"/>
    <n v="9.52"/>
    <n v="2.16"/>
    <x v="0"/>
    <n v="83"/>
    <n v="162"/>
    <n v="66"/>
    <n v="40"/>
    <s v="Moderate"/>
  </r>
  <r>
    <n v="730"/>
    <x v="650"/>
    <x v="708"/>
    <n v="5"/>
    <s v="elective"/>
    <x v="4"/>
    <x v="1"/>
    <n v="71"/>
    <n v="13.11"/>
    <n v="4.16"/>
    <x v="0"/>
    <n v="77"/>
    <n v="169"/>
    <n v="95"/>
    <n v="65"/>
    <s v="Good"/>
  </r>
  <r>
    <n v="731"/>
    <x v="651"/>
    <x v="709"/>
    <n v="2"/>
    <s v="emergency"/>
    <x v="3"/>
    <x v="1"/>
    <n v="83"/>
    <n v="50.05"/>
    <n v="25.98"/>
    <x v="0"/>
    <n v="63"/>
    <n v="170"/>
    <n v="80"/>
    <n v="20"/>
    <s v="Very Poor"/>
  </r>
  <r>
    <n v="732"/>
    <x v="652"/>
    <x v="710"/>
    <n v="2"/>
    <s v="elective"/>
    <x v="3"/>
    <x v="16"/>
    <n v="72"/>
    <n v="3.51"/>
    <n v="1.35"/>
    <x v="0"/>
    <n v="73"/>
    <n v="190"/>
    <n v="138"/>
    <n v="51"/>
    <s v="Good"/>
  </r>
  <r>
    <n v="733"/>
    <x v="653"/>
    <x v="711"/>
    <n v="4"/>
    <s v="elective"/>
    <x v="0"/>
    <x v="12"/>
    <n v="61"/>
    <n v="2.37"/>
    <n v="1.23"/>
    <x v="0"/>
    <n v="63"/>
    <n v="170"/>
    <n v="81"/>
    <n v="57"/>
    <s v="Good"/>
  </r>
  <r>
    <n v="734"/>
    <x v="654"/>
    <x v="712"/>
    <n v="5"/>
    <s v="elective"/>
    <x v="2"/>
    <x v="15"/>
    <n v="78"/>
    <n v="15.36"/>
    <n v="5.24"/>
    <x v="0"/>
    <n v="67"/>
    <n v="186"/>
    <n v="82"/>
    <n v="50"/>
    <s v="Moderate"/>
  </r>
  <r>
    <n v="735"/>
    <x v="652"/>
    <x v="713"/>
    <n v="3"/>
    <s v="elective"/>
    <x v="0"/>
    <x v="0"/>
    <n v="71"/>
    <n v="3.29"/>
    <n v="0.76"/>
    <x v="0"/>
    <n v="89"/>
    <n v="174"/>
    <n v="76"/>
    <n v="55"/>
    <s v="Good"/>
  </r>
  <r>
    <n v="736"/>
    <x v="655"/>
    <x v="714"/>
    <n v="6"/>
    <s v="elective"/>
    <x v="4"/>
    <x v="1"/>
    <n v="53"/>
    <n v="4.6500000000000004"/>
    <n v="0.96"/>
    <x v="0"/>
    <n v="73"/>
    <n v="171"/>
    <n v="86"/>
    <n v="49"/>
    <s v="Moderate"/>
  </r>
  <r>
    <n v="737"/>
    <x v="656"/>
    <x v="715"/>
    <n v="3"/>
    <s v="urgent"/>
    <x v="3"/>
    <x v="0"/>
    <n v="68"/>
    <n v="6.81"/>
    <n v="3.12"/>
    <x v="0"/>
    <n v="81"/>
    <n v="160"/>
    <n v="71"/>
    <n v="47"/>
    <s v="Moderate"/>
  </r>
  <r>
    <n v="738"/>
    <x v="657"/>
    <x v="716"/>
    <n v="4"/>
    <s v="elective"/>
    <x v="3"/>
    <x v="12"/>
    <n v="76"/>
    <n v="11.29"/>
    <n v="4.43"/>
    <x v="0"/>
    <n v="106"/>
    <n v="163"/>
    <n v="88"/>
    <n v="56"/>
    <s v="Good"/>
  </r>
  <r>
    <n v="739"/>
    <x v="658"/>
    <x v="717"/>
    <n v="5"/>
    <s v="elective"/>
    <x v="3"/>
    <x v="15"/>
    <n v="80"/>
    <n v="11.59"/>
    <n v="5.74"/>
    <x v="0"/>
    <n v="80"/>
    <n v="170"/>
    <n v="98"/>
    <n v="35"/>
    <s v="Moderate"/>
  </r>
  <r>
    <n v="740"/>
    <x v="659"/>
    <x v="718"/>
    <n v="2"/>
    <s v="urgent"/>
    <x v="0"/>
    <x v="16"/>
    <n v="78"/>
    <n v="18.489999999999998"/>
    <n v="2.61"/>
    <x v="0"/>
    <n v="114"/>
    <n v="167"/>
    <n v="78"/>
    <n v="60"/>
    <s v="Good"/>
  </r>
  <r>
    <n v="741"/>
    <x v="660"/>
    <x v="719"/>
    <n v="5"/>
    <s v="elective"/>
    <x v="0"/>
    <x v="3"/>
    <n v="71"/>
    <n v="3.29"/>
    <n v="0.92"/>
    <x v="0"/>
    <n v="70"/>
    <n v="173"/>
    <n v="115"/>
    <n v="55"/>
    <s v="Good"/>
  </r>
  <r>
    <n v="742"/>
    <x v="661"/>
    <x v="720"/>
    <n v="3"/>
    <s v="urgent"/>
    <x v="2"/>
    <x v="16"/>
    <n v="69"/>
    <n v="2.35"/>
    <n v="2.57"/>
    <x v="0"/>
    <n v="168"/>
    <n v="152"/>
    <n v="61"/>
    <n v="55"/>
    <s v="Good"/>
  </r>
  <r>
    <n v="743"/>
    <x v="662"/>
    <x v="721"/>
    <n v="6"/>
    <s v="elective"/>
    <x v="0"/>
    <x v="4"/>
    <n v="79"/>
    <n v="8.1"/>
    <n v="2.68"/>
    <x v="0"/>
    <n v="61"/>
    <n v="169"/>
    <n v="81"/>
    <n v="52"/>
    <s v="Good"/>
  </r>
  <r>
    <n v="744"/>
    <x v="663"/>
    <x v="722"/>
    <n v="4"/>
    <s v="urgent"/>
    <x v="0"/>
    <x v="8"/>
    <n v="64"/>
    <n v="2.09"/>
    <n v="0.77"/>
    <x v="0"/>
    <n v="86"/>
    <n v="171"/>
    <n v="72"/>
    <n v="55"/>
    <s v="Good"/>
  </r>
  <r>
    <n v="745"/>
    <x v="664"/>
    <x v="723"/>
    <n v="5"/>
    <s v="elective"/>
    <x v="3"/>
    <x v="3"/>
    <n v="78"/>
    <n v="9.4600000000000009"/>
    <n v="4.17"/>
    <x v="0"/>
    <n v="167"/>
    <n v="164"/>
    <n v="89"/>
    <n v="45"/>
    <s v="Moderate"/>
  </r>
  <r>
    <n v="746"/>
    <x v="664"/>
    <x v="724"/>
    <n v="6"/>
    <s v="elective"/>
    <x v="3"/>
    <x v="4"/>
    <n v="80"/>
    <n v="7.94"/>
    <n v="3.37"/>
    <x v="0"/>
    <n v="150"/>
    <n v="179"/>
    <n v="102"/>
    <n v="17"/>
    <s v="Very Poor"/>
  </r>
  <r>
    <n v="747"/>
    <x v="665"/>
    <x v="725"/>
    <n v="4"/>
    <s v="urgent"/>
    <x v="2"/>
    <x v="8"/>
    <n v="69"/>
    <n v="1.7"/>
    <n v="0.88"/>
    <x v="0"/>
    <n v="86"/>
    <n v="181"/>
    <n v="101"/>
    <n v="55"/>
    <s v="Good"/>
  </r>
  <r>
    <n v="748"/>
    <x v="666"/>
    <x v="726"/>
    <n v="4"/>
    <s v="elective"/>
    <x v="2"/>
    <x v="15"/>
    <n v="73"/>
    <n v="2.21"/>
    <n v="2.9"/>
    <x v="0"/>
    <n v="92"/>
    <n v="144"/>
    <n v="60"/>
    <n v="65"/>
    <s v="Good"/>
  </r>
  <r>
    <n v="749"/>
    <x v="667"/>
    <x v="726"/>
    <n v="6"/>
    <s v="urgent"/>
    <x v="2"/>
    <x v="3"/>
    <n v="66"/>
    <n v="2.11"/>
    <n v="1.1100000000000001"/>
    <x v="0"/>
    <n v="134"/>
    <n v="178"/>
    <n v="70"/>
    <n v="55"/>
    <s v="Good"/>
  </r>
  <r>
    <n v="750"/>
    <x v="668"/>
    <x v="727"/>
    <n v="2"/>
    <s v="urgent"/>
    <x v="3"/>
    <x v="0"/>
    <n v="72"/>
    <n v="10.75"/>
    <n v="4.93"/>
    <x v="0"/>
    <n v="95"/>
    <n v="170"/>
    <n v="87"/>
    <n v="54"/>
    <s v="Good"/>
  </r>
  <r>
    <n v="751"/>
    <x v="669"/>
    <x v="728"/>
    <n v="5"/>
    <s v="elective"/>
    <x v="0"/>
    <x v="2"/>
    <n v="76"/>
    <n v="6.19"/>
    <n v="1.77"/>
    <x v="0"/>
    <n v="104"/>
    <n v="176"/>
    <n v="92"/>
    <n v="43"/>
    <s v="Moderate"/>
  </r>
  <r>
    <n v="752"/>
    <x v="670"/>
    <x v="729"/>
    <n v="6"/>
    <s v="elective"/>
    <x v="0"/>
    <x v="3"/>
    <n v="81"/>
    <n v="8.07"/>
    <n v="1.5"/>
    <x v="0"/>
    <n v="76"/>
    <n v="171"/>
    <n v="86"/>
    <n v="58"/>
    <s v="Good"/>
  </r>
  <r>
    <n v="753"/>
    <x v="671"/>
    <x v="730"/>
    <n v="4"/>
    <s v="elective"/>
    <x v="3"/>
    <x v="15"/>
    <n v="70"/>
    <n v="5.78"/>
    <n v="2.59"/>
    <x v="0"/>
    <n v="84"/>
    <n v="168"/>
    <n v="64"/>
    <n v="40"/>
    <s v="Moderate"/>
  </r>
  <r>
    <n v="754"/>
    <x v="672"/>
    <x v="731"/>
    <n v="5"/>
    <s v="elective"/>
    <x v="2"/>
    <x v="1"/>
    <n v="69"/>
    <n v="2.35"/>
    <n v="0.81"/>
    <x v="0"/>
    <n v="113"/>
    <n v="159"/>
    <n v="74"/>
    <n v="55"/>
    <s v="Good"/>
  </r>
  <r>
    <n v="756"/>
    <x v="673"/>
    <x v="732"/>
    <n v="5"/>
    <s v="elective"/>
    <x v="4"/>
    <x v="1"/>
    <n v="86"/>
    <n v="29.08"/>
    <n v="6.24"/>
    <x v="0"/>
    <n v="123"/>
    <n v="175"/>
    <n v="78"/>
    <n v="25"/>
    <s v="Poor"/>
  </r>
  <r>
    <n v="757"/>
    <x v="674"/>
    <x v="733"/>
    <n v="4"/>
    <s v="elective"/>
    <x v="0"/>
    <x v="8"/>
    <n v="82"/>
    <n v="17.45"/>
    <n v="7.31"/>
    <x v="0"/>
    <n v="83"/>
    <n v="160"/>
    <n v="72"/>
    <n v="33"/>
    <s v="Moderate"/>
  </r>
  <r>
    <n v="758"/>
    <x v="675"/>
    <x v="734"/>
    <n v="5"/>
    <s v="elective"/>
    <x v="2"/>
    <x v="16"/>
    <n v="74"/>
    <n v="2.36"/>
    <n v="0.83"/>
    <x v="0"/>
    <n v="117"/>
    <n v="178"/>
    <n v="115"/>
    <n v="17"/>
    <s v="Very Poor"/>
  </r>
  <r>
    <n v="759"/>
    <x v="676"/>
    <x v="735"/>
    <n v="5"/>
    <s v="urgent"/>
    <x v="2"/>
    <x v="16"/>
    <n v="59"/>
    <n v="1.51"/>
    <n v="0.8"/>
    <x v="0"/>
    <n v="80"/>
    <n v="163"/>
    <n v="66"/>
    <n v="40"/>
    <s v="Moderate"/>
  </r>
  <r>
    <n v="760"/>
    <x v="677"/>
    <x v="736"/>
    <n v="4"/>
    <s v="elective"/>
    <x v="0"/>
    <x v="8"/>
    <n v="64"/>
    <n v="2.88"/>
    <n v="1.05"/>
    <x v="0"/>
    <n v="76"/>
    <n v="152"/>
    <n v="67"/>
    <n v="40"/>
    <s v="Moderate"/>
  </r>
  <r>
    <n v="761"/>
    <x v="678"/>
    <x v="737"/>
    <n v="5"/>
    <s v="elective"/>
    <x v="0"/>
    <x v="8"/>
    <n v="48"/>
    <n v="2.08"/>
    <n v="0.62"/>
    <x v="0"/>
    <n v="92"/>
    <n v="163"/>
    <n v="95"/>
    <n v="50"/>
    <s v="Moderate"/>
  </r>
  <r>
    <n v="762"/>
    <x v="679"/>
    <x v="738"/>
    <n v="5"/>
    <s v="elective"/>
    <x v="3"/>
    <x v="8"/>
    <n v="78"/>
    <n v="7.01"/>
    <n v="1.78"/>
    <x v="0"/>
    <n v="62"/>
    <n v="177"/>
    <n v="76"/>
    <n v="63"/>
    <s v="Good"/>
  </r>
  <r>
    <n v="763"/>
    <x v="680"/>
    <x v="739"/>
    <n v="4"/>
    <s v="elective"/>
    <x v="0"/>
    <x v="12"/>
    <n v="77"/>
    <n v="6.59"/>
    <n v="2.31"/>
    <x v="0"/>
    <n v="95"/>
    <n v="175"/>
    <n v="84"/>
    <n v="54"/>
    <s v="Good"/>
  </r>
  <r>
    <n v="764"/>
    <x v="681"/>
    <x v="740"/>
    <n v="3"/>
    <s v="elective"/>
    <x v="0"/>
    <x v="0"/>
    <n v="62"/>
    <n v="1.83"/>
    <n v="0.59"/>
    <x v="0"/>
    <n v="112"/>
    <n v="167"/>
    <n v="75"/>
    <n v="55"/>
    <s v="Good"/>
  </r>
  <r>
    <n v="765"/>
    <x v="680"/>
    <x v="740"/>
    <n v="2"/>
    <s v="elective"/>
    <x v="3"/>
    <x v="11"/>
    <n v="81"/>
    <n v="6.21"/>
    <n v="2.33"/>
    <x v="0"/>
    <n v="93"/>
    <n v="151"/>
    <n v="60"/>
    <n v="45"/>
    <s v="Moderate"/>
  </r>
  <r>
    <n v="766"/>
    <x v="680"/>
    <x v="741"/>
    <n v="5"/>
    <s v="elective"/>
    <x v="3"/>
    <x v="3"/>
    <n v="66"/>
    <n v="6.64"/>
    <n v="8.91"/>
    <x v="0"/>
    <n v="162"/>
    <n v="178"/>
    <n v="70"/>
    <n v="65"/>
    <s v="Good"/>
  </r>
  <r>
    <n v="767"/>
    <x v="680"/>
    <x v="742"/>
    <n v="6"/>
    <s v="elective"/>
    <x v="3"/>
    <x v="1"/>
    <n v="68"/>
    <n v="4.0599999999999996"/>
    <n v="2.48"/>
    <x v="0"/>
    <n v="89"/>
    <n v="191"/>
    <n v="99"/>
    <n v="59"/>
    <s v="Good"/>
  </r>
  <r>
    <n v="768"/>
    <x v="680"/>
    <x v="743"/>
    <n v="4"/>
    <s v="elective"/>
    <x v="3"/>
    <x v="12"/>
    <n v="47"/>
    <n v="6.98"/>
    <n v="4.3"/>
    <x v="0"/>
    <n v="66"/>
    <n v="180"/>
    <n v="85"/>
    <n v="30"/>
    <s v="Poor"/>
  </r>
  <r>
    <n v="769"/>
    <x v="682"/>
    <x v="744"/>
    <n v="3"/>
    <s v="urgent"/>
    <x v="0"/>
    <x v="0"/>
    <n v="70"/>
    <n v="35.56"/>
    <n v="11.88"/>
    <x v="0"/>
    <n v="65"/>
    <n v="175"/>
    <n v="89"/>
    <n v="25"/>
    <s v="Poor"/>
  </r>
  <r>
    <n v="770"/>
    <x v="683"/>
    <x v="745"/>
    <n v="2"/>
    <s v="urgent"/>
    <x v="3"/>
    <x v="11"/>
    <n v="82"/>
    <n v="17.45"/>
    <n v="7.92"/>
    <x v="0"/>
    <n v="86"/>
    <n v="178"/>
    <n v="82"/>
    <n v="30"/>
    <s v="Poor"/>
  </r>
  <r>
    <n v="771"/>
    <x v="684"/>
    <x v="746"/>
    <n v="6"/>
    <s v="elective"/>
    <x v="2"/>
    <x v="1"/>
    <n v="70"/>
    <n v="2.74"/>
    <n v="1.65"/>
    <x v="0"/>
    <n v="92"/>
    <n v="180"/>
    <n v="94"/>
    <n v="55"/>
    <s v="Good"/>
  </r>
  <r>
    <n v="772"/>
    <x v="685"/>
    <x v="747"/>
    <n v="3"/>
    <s v="elective"/>
    <x v="0"/>
    <x v="16"/>
    <n v="73"/>
    <n v="5.13"/>
    <n v="2.81"/>
    <x v="0"/>
    <n v="101"/>
    <n v="180"/>
    <n v="79"/>
    <n v="55"/>
    <s v="Good"/>
  </r>
  <r>
    <n v="773"/>
    <x v="686"/>
    <x v="748"/>
    <n v="4"/>
    <s v="elective"/>
    <x v="3"/>
    <x v="8"/>
    <n v="76"/>
    <n v="6.73"/>
    <n v="2.4900000000000002"/>
    <x v="0"/>
    <n v="105"/>
    <n v="190"/>
    <n v="94"/>
    <n v="46"/>
    <s v="Moderate"/>
  </r>
  <r>
    <n v="774"/>
    <x v="687"/>
    <x v="749"/>
    <n v="5"/>
    <s v="elective"/>
    <x v="3"/>
    <x v="12"/>
    <n v="77"/>
    <n v="4.83"/>
    <n v="1.55"/>
    <x v="0"/>
    <n v="104"/>
    <n v="164"/>
    <n v="74"/>
    <n v="69"/>
    <s v="Good"/>
  </r>
  <r>
    <n v="775"/>
    <x v="688"/>
    <x v="750"/>
    <n v="6"/>
    <s v="elective"/>
    <x v="2"/>
    <x v="4"/>
    <n v="64"/>
    <n v="1.23"/>
    <n v="1.18"/>
    <x v="0"/>
    <n v="84"/>
    <n v="163"/>
    <n v="59"/>
    <n v="45"/>
    <s v="Moderate"/>
  </r>
  <r>
    <n v="776"/>
    <x v="689"/>
    <x v="751"/>
    <n v="5"/>
    <s v="elective"/>
    <x v="3"/>
    <x v="12"/>
    <n v="65"/>
    <n v="2.23"/>
    <n v="1.1000000000000001"/>
    <x v="0"/>
    <n v="113"/>
    <n v="168"/>
    <n v="79"/>
    <n v="10"/>
    <s v="Very Poor"/>
  </r>
  <r>
    <n v="777"/>
    <x v="690"/>
    <x v="752"/>
    <n v="4"/>
    <s v="elective"/>
    <x v="2"/>
    <x v="15"/>
    <n v="66"/>
    <n v="1.4"/>
    <n v="1.1100000000000001"/>
    <x v="0"/>
    <n v="81"/>
    <n v="151"/>
    <n v="62"/>
    <n v="45"/>
    <s v="Moderate"/>
  </r>
  <r>
    <n v="778"/>
    <x v="691"/>
    <x v="753"/>
    <n v="6"/>
    <s v="elective"/>
    <x v="2"/>
    <x v="11"/>
    <n v="55"/>
    <n v="2.2799999999999998"/>
    <n v="0.8"/>
    <x v="0"/>
    <n v="100"/>
    <n v="175"/>
    <n v="73"/>
    <n v="45"/>
    <s v="Moderate"/>
  </r>
  <r>
    <n v="779"/>
    <x v="692"/>
    <x v="754"/>
    <n v="5"/>
    <s v="elective"/>
    <x v="0"/>
    <x v="8"/>
    <n v="73"/>
    <n v="2.21"/>
    <n v="0.8"/>
    <x v="0"/>
    <n v="99"/>
    <n v="172"/>
    <n v="98"/>
    <n v="40"/>
    <s v="Moderate"/>
  </r>
  <r>
    <n v="780"/>
    <x v="693"/>
    <x v="755"/>
    <n v="2"/>
    <s v="elective"/>
    <x v="0"/>
    <x v="12"/>
    <n v="68"/>
    <n v="5.97"/>
    <n v="2.21"/>
    <x v="0"/>
    <n v="78"/>
    <n v="166"/>
    <n v="97"/>
    <n v="20"/>
    <s v="Very Poor"/>
  </r>
  <r>
    <n v="781"/>
    <x v="694"/>
    <x v="756"/>
    <n v="2"/>
    <s v="elective"/>
    <x v="0"/>
    <x v="12"/>
    <n v="66"/>
    <n v="5.26"/>
    <n v="0.99"/>
    <x v="0"/>
    <n v="110"/>
    <n v="173"/>
    <n v="89"/>
    <n v="28"/>
    <s v="Poor"/>
  </r>
  <r>
    <n v="782"/>
    <x v="695"/>
    <x v="757"/>
    <n v="5"/>
    <s v="elective"/>
    <x v="0"/>
    <x v="8"/>
    <n v="63"/>
    <n v="1.1499999999999999"/>
    <n v="0.6"/>
    <x v="0"/>
    <n v="66"/>
    <n v="150"/>
    <n v="60"/>
    <n v="60"/>
    <s v="Good"/>
  </r>
  <r>
    <n v="783"/>
    <x v="696"/>
    <x v="758"/>
    <n v="6"/>
    <s v="elective"/>
    <x v="2"/>
    <x v="11"/>
    <n v="75"/>
    <n v="2.52"/>
    <n v="0.85"/>
    <x v="0"/>
    <n v="84"/>
    <n v="180"/>
    <n v="88"/>
    <n v="45"/>
    <s v="Moderate"/>
  </r>
  <r>
    <n v="784"/>
    <x v="697"/>
    <x v="759"/>
    <n v="3"/>
    <s v="elective"/>
    <x v="0"/>
    <x v="6"/>
    <n v="77"/>
    <n v="6.59"/>
    <n v="4.09"/>
    <x v="0"/>
    <n v="65"/>
    <n v="164"/>
    <n v="98"/>
    <n v="31"/>
    <s v="Moderate"/>
  </r>
  <r>
    <n v="785"/>
    <x v="698"/>
    <x v="760"/>
    <n v="5"/>
    <s v="elective"/>
    <x v="0"/>
    <x v="8"/>
    <n v="73"/>
    <n v="3.74"/>
    <n v="1.0900000000000001"/>
    <x v="0"/>
    <n v="131"/>
    <n v="171"/>
    <n v="86"/>
    <n v="60"/>
    <s v="Good"/>
  </r>
  <r>
    <n v="786"/>
    <x v="699"/>
    <x v="761"/>
    <n v="6"/>
    <s v="elective"/>
    <x v="2"/>
    <x v="15"/>
    <n v="73"/>
    <n v="3.57"/>
    <n v="1.31"/>
    <x v="0"/>
    <n v="71"/>
    <n v="183"/>
    <n v="70"/>
    <n v="51"/>
    <s v="Good"/>
  </r>
  <r>
    <n v="787"/>
    <x v="700"/>
    <x v="762"/>
    <n v="5"/>
    <s v="elective"/>
    <x v="0"/>
    <x v="7"/>
    <n v="82"/>
    <n v="13.03"/>
    <n v="2.85"/>
    <x v="0"/>
    <n v="79"/>
    <n v="163"/>
    <n v="75"/>
    <n v="50"/>
    <s v="Moderate"/>
  </r>
  <r>
    <n v="788"/>
    <x v="701"/>
    <x v="763"/>
    <n v="3"/>
    <s v="urgent"/>
    <x v="2"/>
    <x v="6"/>
    <n v="64"/>
    <n v="1.23"/>
    <n v="0.86"/>
    <x v="0"/>
    <n v="71"/>
    <n v="158"/>
    <n v="78"/>
    <n v="75"/>
    <s v="Good"/>
  </r>
  <r>
    <n v="789"/>
    <x v="702"/>
    <x v="764"/>
    <n v="6"/>
    <s v="elective"/>
    <x v="2"/>
    <x v="15"/>
    <n v="73"/>
    <n v="4.9000000000000004"/>
    <n v="1.71"/>
    <x v="0"/>
    <n v="74"/>
    <n v="192"/>
    <n v="94"/>
    <n v="14"/>
    <s v="Very Poor"/>
  </r>
  <r>
    <n v="790"/>
    <x v="703"/>
    <x v="765"/>
    <n v="5"/>
    <s v="urgent"/>
    <x v="0"/>
    <x v="16"/>
    <n v="66"/>
    <n v="2.38"/>
    <n v="1.22"/>
    <x v="0"/>
    <n v="131"/>
    <n v="166"/>
    <n v="51"/>
    <n v="65"/>
    <s v="Good"/>
  </r>
  <r>
    <n v="791"/>
    <x v="704"/>
    <x v="766"/>
    <n v="4"/>
    <s v="elective"/>
    <x v="4"/>
    <x v="7"/>
    <n v="78"/>
    <n v="4.58"/>
    <n v="2.95"/>
    <x v="0"/>
    <n v="61"/>
    <n v="165"/>
    <n v="81"/>
    <n v="55"/>
    <s v="Good"/>
  </r>
  <r>
    <n v="792"/>
    <x v="705"/>
    <x v="767"/>
    <n v="6"/>
    <s v="emergency"/>
    <x v="2"/>
    <x v="11"/>
    <n v="73"/>
    <n v="23.04"/>
    <n v="10.51"/>
    <x v="0"/>
    <n v="114"/>
    <n v="167"/>
    <n v="104"/>
    <n v="65"/>
    <s v="Good"/>
  </r>
  <r>
    <n v="793"/>
    <x v="706"/>
    <x v="768"/>
    <n v="5"/>
    <s v="elective"/>
    <x v="0"/>
    <x v="16"/>
    <n v="76"/>
    <n v="4.53"/>
    <n v="1.19"/>
    <x v="0"/>
    <n v="78"/>
    <n v="173"/>
    <n v="70"/>
    <n v="55"/>
    <s v="Good"/>
  </r>
  <r>
    <n v="794"/>
    <x v="707"/>
    <x v="769"/>
    <n v="4"/>
    <s v="urgent"/>
    <x v="0"/>
    <x v="7"/>
    <n v="49"/>
    <n v="2.08"/>
    <n v="0.95"/>
    <x v="0"/>
    <n v="111"/>
    <n v="180"/>
    <n v="84"/>
    <n v="44"/>
    <s v="Moderate"/>
  </r>
  <r>
    <n v="795"/>
    <x v="708"/>
    <x v="770"/>
    <n v="5"/>
    <s v="elective"/>
    <x v="0"/>
    <x v="12"/>
    <n v="73"/>
    <n v="10.4"/>
    <n v="5.58"/>
    <x v="0"/>
    <n v="104"/>
    <n v="175"/>
    <n v="88"/>
    <n v="60"/>
    <s v="Good"/>
  </r>
  <r>
    <n v="796"/>
    <x v="709"/>
    <x v="771"/>
    <n v="4"/>
    <s v="elective"/>
    <x v="2"/>
    <x v="4"/>
    <n v="73"/>
    <n v="3.57"/>
    <n v="1.46"/>
    <x v="0"/>
    <n v="101"/>
    <n v="173"/>
    <n v="86"/>
    <n v="64"/>
    <s v="Good"/>
  </r>
  <r>
    <n v="797"/>
    <x v="710"/>
    <x v="772"/>
    <n v="5"/>
    <s v="elective"/>
    <x v="0"/>
    <x v="12"/>
    <n v="77"/>
    <n v="18.21"/>
    <n v="5.24"/>
    <x v="0"/>
    <n v="155"/>
    <n v="166"/>
    <n v="96"/>
    <n v="55"/>
    <s v="Good"/>
  </r>
  <r>
    <n v="798"/>
    <x v="711"/>
    <x v="773"/>
    <n v="4"/>
    <s v="elective"/>
    <x v="0"/>
    <x v="4"/>
    <n v="75"/>
    <n v="4.25"/>
    <n v="1.03"/>
    <x v="0"/>
    <n v="127"/>
    <n v="166"/>
    <n v="92"/>
    <n v="14"/>
    <s v="Very Poor"/>
  </r>
  <r>
    <n v="799"/>
    <x v="712"/>
    <x v="774"/>
    <n v="5"/>
    <s v="urgent"/>
    <x v="3"/>
    <x v="12"/>
    <n v="81"/>
    <n v="15.08"/>
    <n v="9.1999999999999993"/>
    <x v="0"/>
    <n v="75"/>
    <n v="183"/>
    <n v="83"/>
    <n v="65"/>
    <s v="Good"/>
  </r>
  <r>
    <n v="800"/>
    <x v="713"/>
    <x v="775"/>
    <n v="2"/>
    <s v="urgent"/>
    <x v="3"/>
    <x v="3"/>
    <n v="73"/>
    <n v="3.74"/>
    <n v="2.5499999999999998"/>
    <x v="0"/>
    <n v="77"/>
    <n v="153"/>
    <n v="63"/>
    <n v="47"/>
    <s v="Moderate"/>
  </r>
  <r>
    <n v="802"/>
    <x v="714"/>
    <x v="776"/>
    <n v="4"/>
    <s v="elective"/>
    <x v="0"/>
    <x v="8"/>
    <n v="47"/>
    <n v="3.37"/>
    <n v="1.29"/>
    <x v="0"/>
    <n v="101"/>
    <n v="180"/>
    <n v="82"/>
    <n v="45"/>
    <s v="Moderate"/>
  </r>
  <r>
    <n v="803"/>
    <x v="715"/>
    <x v="777"/>
    <n v="5"/>
    <s v="elective"/>
    <x v="2"/>
    <x v="4"/>
    <n v="60"/>
    <n v="3.79"/>
    <n v="3.25"/>
    <x v="0"/>
    <n v="69"/>
    <n v="182"/>
    <n v="112"/>
    <n v="45"/>
    <s v="Moderate"/>
  </r>
  <r>
    <n v="804"/>
    <x v="716"/>
    <x v="778"/>
    <n v="5"/>
    <s v="elective"/>
    <x v="0"/>
    <x v="6"/>
    <n v="66"/>
    <n v="3.57"/>
    <n v="0.81"/>
    <x v="0"/>
    <n v="82"/>
    <n v="172"/>
    <n v="96"/>
    <n v="65"/>
    <s v="Good"/>
  </r>
  <r>
    <n v="805"/>
    <x v="717"/>
    <x v="779"/>
    <n v="2"/>
    <s v="elective"/>
    <x v="0"/>
    <x v="2"/>
    <n v="60"/>
    <n v="1.61"/>
    <n v="0.5"/>
    <x v="0"/>
    <n v="85"/>
    <n v="170"/>
    <n v="93"/>
    <n v="45"/>
    <s v="Moderate"/>
  </r>
  <r>
    <n v="806"/>
    <x v="717"/>
    <x v="780"/>
    <n v="6"/>
    <s v="elective"/>
    <x v="0"/>
    <x v="12"/>
    <n v="64"/>
    <n v="2.09"/>
    <n v="0.75"/>
    <x v="0"/>
    <n v="71"/>
    <n v="171"/>
    <n v="80"/>
    <n v="55"/>
    <s v="Good"/>
  </r>
  <r>
    <n v="807"/>
    <x v="718"/>
    <x v="781"/>
    <n v="4"/>
    <s v="urgent"/>
    <x v="2"/>
    <x v="11"/>
    <n v="78"/>
    <n v="49.2"/>
    <n v="13.95"/>
    <x v="0"/>
    <n v="64"/>
    <n v="166"/>
    <n v="70"/>
    <n v="54"/>
    <s v="Good"/>
  </r>
  <r>
    <n v="808"/>
    <x v="719"/>
    <x v="782"/>
    <n v="6"/>
    <s v="elective"/>
    <x v="3"/>
    <x v="12"/>
    <n v="82"/>
    <n v="8.9700000000000006"/>
    <n v="5.07"/>
    <x v="1"/>
    <n v="135"/>
    <n v="177"/>
    <n v="85"/>
    <n v="45"/>
    <s v="Moderate"/>
  </r>
  <r>
    <n v="809"/>
    <x v="720"/>
    <x v="783"/>
    <n v="4"/>
    <s v="elective"/>
    <x v="0"/>
    <x v="11"/>
    <n v="62"/>
    <n v="2.5299999999999998"/>
    <n v="0.89"/>
    <x v="0"/>
    <n v="61"/>
    <n v="178"/>
    <n v="90"/>
    <n v="45"/>
    <s v="Moderate"/>
  </r>
  <r>
    <n v="810"/>
    <x v="721"/>
    <x v="784"/>
    <n v="5"/>
    <s v="elective"/>
    <x v="2"/>
    <x v="6"/>
    <n v="75"/>
    <n v="7.03"/>
    <n v="4.2300000000000004"/>
    <x v="0"/>
    <n v="65"/>
    <n v="170"/>
    <n v="83"/>
    <n v="55"/>
    <s v="Good"/>
  </r>
  <r>
    <n v="811"/>
    <x v="722"/>
    <x v="785"/>
    <n v="1"/>
    <s v="emergency"/>
    <x v="0"/>
    <x v="0"/>
    <n v="31"/>
    <n v="1.78"/>
    <n v="1"/>
    <x v="0"/>
    <n v="75"/>
    <n v="164"/>
    <n v="58"/>
    <n v="35"/>
    <s v="Moderate"/>
  </r>
  <r>
    <n v="812"/>
    <x v="723"/>
    <x v="786"/>
    <n v="5"/>
    <s v="elective"/>
    <x v="0"/>
    <x v="12"/>
    <n v="71"/>
    <n v="21.47"/>
    <n v="4.03"/>
    <x v="0"/>
    <n v="98"/>
    <n v="183"/>
    <n v="70"/>
    <n v="62"/>
    <s v="Good"/>
  </r>
  <r>
    <n v="813"/>
    <x v="724"/>
    <x v="787"/>
    <n v="3"/>
    <s v="elective"/>
    <x v="0"/>
    <x v="6"/>
    <n v="65"/>
    <n v="3.07"/>
    <n v="4.08"/>
    <x v="0"/>
    <n v="97"/>
    <n v="164"/>
    <n v="107"/>
    <n v="60"/>
    <s v="Good"/>
  </r>
  <r>
    <n v="814"/>
    <x v="725"/>
    <x v="788"/>
    <n v="5"/>
    <s v="elective"/>
    <x v="0"/>
    <x v="12"/>
    <n v="57"/>
    <n v="1.51"/>
    <n v="0.56000000000000005"/>
    <x v="0"/>
    <n v="65"/>
    <n v="175"/>
    <n v="90"/>
    <n v="45"/>
    <s v="Moderate"/>
  </r>
  <r>
    <n v="815"/>
    <x v="726"/>
    <x v="789"/>
    <n v="3"/>
    <s v="elective"/>
    <x v="0"/>
    <x v="6"/>
    <n v="58"/>
    <n v="2.08"/>
    <n v="1.62"/>
    <x v="0"/>
    <n v="79"/>
    <n v="165"/>
    <n v="70"/>
    <n v="65"/>
    <s v="Good"/>
  </r>
  <r>
    <n v="816"/>
    <x v="727"/>
    <x v="790"/>
    <n v="5"/>
    <s v="elective"/>
    <x v="3"/>
    <x v="12"/>
    <n v="77"/>
    <n v="28.42"/>
    <n v="13.06"/>
    <x v="0"/>
    <n v="106"/>
    <n v="155"/>
    <n v="53"/>
    <n v="62"/>
    <s v="Good"/>
  </r>
  <r>
    <n v="817"/>
    <x v="728"/>
    <x v="791"/>
    <n v="2"/>
    <s v="urgent"/>
    <x v="2"/>
    <x v="11"/>
    <n v="63"/>
    <n v="2.96"/>
    <n v="1.32"/>
    <x v="0"/>
    <n v="103"/>
    <n v="170"/>
    <n v="70"/>
    <n v="66"/>
    <s v="Good"/>
  </r>
  <r>
    <n v="818"/>
    <x v="729"/>
    <x v="792"/>
    <n v="5"/>
    <s v="elective"/>
    <x v="4"/>
    <x v="16"/>
    <n v="44"/>
    <n v="6.35"/>
    <n v="2.04"/>
    <x v="0"/>
    <n v="74"/>
    <n v="178"/>
    <n v="68"/>
    <n v="57"/>
    <s v="Good"/>
  </r>
  <r>
    <n v="819"/>
    <x v="730"/>
    <x v="793"/>
    <n v="4"/>
    <s v="elective"/>
    <x v="0"/>
    <x v="8"/>
    <n v="71"/>
    <n v="6.71"/>
    <n v="1.1499999999999999"/>
    <x v="0"/>
    <n v="68"/>
    <n v="176"/>
    <n v="92"/>
    <n v="63"/>
    <s v="Good"/>
  </r>
  <r>
    <n v="820"/>
    <x v="712"/>
    <x v="794"/>
    <n v="4"/>
    <s v="urgent"/>
    <x v="2"/>
    <x v="11"/>
    <n v="79"/>
    <n v="13.2"/>
    <n v="6.61"/>
    <x v="0"/>
    <n v="81"/>
    <n v="150"/>
    <n v="71"/>
    <n v="45"/>
    <s v="Moderate"/>
  </r>
  <r>
    <n v="821"/>
    <x v="731"/>
    <x v="795"/>
    <n v="5"/>
    <s v="urgent"/>
    <x v="2"/>
    <x v="16"/>
    <n v="78"/>
    <n v="4.58"/>
    <n v="2.1"/>
    <x v="0"/>
    <n v="118"/>
    <n v="170"/>
    <n v="102"/>
    <n v="33"/>
    <s v="Moderate"/>
  </r>
  <r>
    <n v="822"/>
    <x v="732"/>
    <x v="796"/>
    <n v="1"/>
    <s v="emergency"/>
    <x v="2"/>
    <x v="2"/>
    <n v="80"/>
    <n v="48.39"/>
    <n v="16.52"/>
    <x v="0"/>
    <n v="131"/>
    <n v="166"/>
    <n v="94"/>
    <n v="42"/>
    <s v="Moderate"/>
  </r>
  <r>
    <n v="823"/>
    <x v="733"/>
    <x v="797"/>
    <n v="5"/>
    <s v="elective"/>
    <x v="0"/>
    <x v="6"/>
    <n v="77"/>
    <n v="7.67"/>
    <n v="1.0900000000000001"/>
    <x v="0"/>
    <n v="86"/>
    <n v="166"/>
    <n v="77"/>
    <n v="55"/>
    <s v="Good"/>
  </r>
  <r>
    <n v="824"/>
    <x v="734"/>
    <x v="798"/>
    <n v="5"/>
    <s v="elective"/>
    <x v="0"/>
    <x v="6"/>
    <n v="78"/>
    <n v="10.29"/>
    <n v="2.5499999999999998"/>
    <x v="0"/>
    <n v="68"/>
    <n v="154"/>
    <n v="44"/>
    <n v="58"/>
    <s v="Good"/>
  </r>
  <r>
    <n v="825"/>
    <x v="735"/>
    <x v="799"/>
    <n v="5"/>
    <s v="elective"/>
    <x v="0"/>
    <x v="6"/>
    <n v="81"/>
    <n v="6.21"/>
    <n v="2.98"/>
    <x v="0"/>
    <n v="107"/>
    <n v="158"/>
    <n v="86"/>
    <n v="60"/>
    <s v="Good"/>
  </r>
  <r>
    <n v="826"/>
    <x v="735"/>
    <x v="800"/>
    <n v="4"/>
    <s v="elective"/>
    <x v="3"/>
    <x v="3"/>
    <n v="83"/>
    <n v="7.03"/>
    <n v="2.21"/>
    <x v="0"/>
    <n v="84"/>
    <n v="179"/>
    <n v="69"/>
    <n v="60"/>
    <s v="Good"/>
  </r>
  <r>
    <n v="827"/>
    <x v="735"/>
    <x v="801"/>
    <n v="2"/>
    <s v="elective"/>
    <x v="6"/>
    <x v="12"/>
    <n v="78"/>
    <n v="3.06"/>
    <n v="3.32"/>
    <x v="0"/>
    <n v="77"/>
    <n v="170"/>
    <n v="70"/>
    <n v="55"/>
    <s v="Good"/>
  </r>
  <r>
    <n v="828"/>
    <x v="736"/>
    <x v="802"/>
    <n v="6"/>
    <s v="urgent"/>
    <x v="2"/>
    <x v="14"/>
    <n v="72"/>
    <n v="10.85"/>
    <n v="3.61"/>
    <x v="0"/>
    <n v="65"/>
    <n v="175"/>
    <n v="75"/>
    <n v="60"/>
    <s v="Good"/>
  </r>
  <r>
    <n v="829"/>
    <x v="737"/>
    <x v="803"/>
    <n v="2"/>
    <s v="elective"/>
    <x v="4"/>
    <x v="12"/>
    <n v="75"/>
    <n v="27.84"/>
    <n v="10.58"/>
    <x v="0"/>
    <n v="81"/>
    <n v="159"/>
    <n v="70"/>
    <n v="55"/>
    <s v="Good"/>
  </r>
  <r>
    <n v="830"/>
    <x v="738"/>
    <x v="804"/>
    <n v="5"/>
    <s v="urgent"/>
    <x v="2"/>
    <x v="11"/>
    <n v="79"/>
    <n v="8.1300000000000008"/>
    <n v="2.5099999999999998"/>
    <x v="0"/>
    <n v="64"/>
    <n v="170"/>
    <n v="78"/>
    <n v="65"/>
    <s v="Good"/>
  </r>
  <r>
    <n v="831"/>
    <x v="739"/>
    <x v="805"/>
    <n v="6"/>
    <s v="elective"/>
    <x v="2"/>
    <x v="3"/>
    <n v="56"/>
    <n v="1.33"/>
    <n v="0.92"/>
    <x v="0"/>
    <n v="142"/>
    <n v="175"/>
    <n v="90"/>
    <n v="57"/>
    <s v="Good"/>
  </r>
  <r>
    <n v="832"/>
    <x v="740"/>
    <x v="806"/>
    <n v="2"/>
    <s v="elective"/>
    <x v="0"/>
    <x v="2"/>
    <n v="58"/>
    <n v="9.4"/>
    <n v="2.76"/>
    <x v="0"/>
    <n v="80"/>
    <n v="169"/>
    <n v="74"/>
    <n v="54"/>
    <s v="Good"/>
  </r>
  <r>
    <n v="833"/>
    <x v="741"/>
    <x v="807"/>
    <n v="5"/>
    <s v="elective"/>
    <x v="0"/>
    <x v="4"/>
    <n v="80"/>
    <n v="9.2100000000000009"/>
    <n v="1.92"/>
    <x v="0"/>
    <n v="82"/>
    <n v="170"/>
    <n v="101"/>
    <n v="25"/>
    <s v="Poor"/>
  </r>
  <r>
    <n v="834"/>
    <x v="742"/>
    <x v="808"/>
    <n v="4"/>
    <s v="urgent"/>
    <x v="3"/>
    <x v="8"/>
    <n v="64"/>
    <n v="2.1"/>
    <n v="1"/>
    <x v="0"/>
    <n v="64"/>
    <n v="172"/>
    <n v="97"/>
    <n v="46"/>
    <s v="Moderate"/>
  </r>
  <r>
    <n v="835"/>
    <x v="743"/>
    <x v="809"/>
    <n v="5"/>
    <s v="elective"/>
    <x v="2"/>
    <x v="4"/>
    <n v="66"/>
    <n v="3.41"/>
    <n v="1.83"/>
    <x v="0"/>
    <n v="90"/>
    <n v="175"/>
    <n v="125"/>
    <n v="55"/>
    <s v="Good"/>
  </r>
  <r>
    <n v="836"/>
    <x v="744"/>
    <x v="810"/>
    <n v="2"/>
    <s v="elective"/>
    <x v="0"/>
    <x v="2"/>
    <n v="84"/>
    <n v="10.95"/>
    <n v="10.26"/>
    <x v="0"/>
    <n v="88"/>
    <n v="179"/>
    <n v="90"/>
    <n v="45"/>
    <s v="Moderate"/>
  </r>
  <r>
    <n v="837"/>
    <x v="745"/>
    <x v="811"/>
    <n v="4"/>
    <s v="elective"/>
    <x v="0"/>
    <x v="8"/>
    <n v="35"/>
    <n v="1.51"/>
    <n v="0.56000000000000005"/>
    <x v="0"/>
    <n v="114"/>
    <n v="171"/>
    <n v="56"/>
    <n v="40"/>
    <s v="Moderate"/>
  </r>
  <r>
    <n v="838"/>
    <x v="746"/>
    <x v="812"/>
    <n v="2"/>
    <s v="elective"/>
    <x v="4"/>
    <x v="2"/>
    <n v="81"/>
    <n v="24.31"/>
    <n v="10.36"/>
    <x v="0"/>
    <n v="66"/>
    <n v="175"/>
    <n v="100"/>
    <n v="55"/>
    <s v="Good"/>
  </r>
  <r>
    <n v="839"/>
    <x v="747"/>
    <x v="812"/>
    <n v="6"/>
    <s v="elective"/>
    <x v="2"/>
    <x v="15"/>
    <n v="58"/>
    <n v="1.68"/>
    <n v="1.28"/>
    <x v="0"/>
    <n v="139"/>
    <n v="164"/>
    <n v="75"/>
    <n v="28"/>
    <s v="Poor"/>
  </r>
  <r>
    <n v="840"/>
    <x v="748"/>
    <x v="813"/>
    <n v="3"/>
    <s v="elective"/>
    <x v="0"/>
    <x v="13"/>
    <n v="39"/>
    <n v="5.48"/>
    <n v="2.09"/>
    <x v="0"/>
    <n v="85"/>
    <n v="165"/>
    <n v="76"/>
    <n v="55"/>
    <s v="Good"/>
  </r>
  <r>
    <n v="841"/>
    <x v="749"/>
    <x v="814"/>
    <n v="5"/>
    <s v="urgent"/>
    <x v="3"/>
    <x v="16"/>
    <n v="76"/>
    <n v="4.53"/>
    <n v="2.77"/>
    <x v="0"/>
    <n v="100"/>
    <n v="178"/>
    <n v="89"/>
    <n v="55"/>
    <s v="Good"/>
  </r>
  <r>
    <n v="842"/>
    <x v="750"/>
    <x v="815"/>
    <n v="4"/>
    <s v="urgent"/>
    <x v="4"/>
    <x v="11"/>
    <n v="81"/>
    <n v="30.88"/>
    <n v="11.5"/>
    <x v="0"/>
    <n v="85"/>
    <n v="170"/>
    <n v="80"/>
    <n v="80"/>
    <s v="Good"/>
  </r>
  <r>
    <n v="843"/>
    <x v="751"/>
    <x v="816"/>
    <n v="2"/>
    <s v="elective"/>
    <x v="0"/>
    <x v="2"/>
    <n v="66"/>
    <n v="2.38"/>
    <n v="0.59"/>
    <x v="0"/>
    <n v="112"/>
    <n v="170"/>
    <n v="119"/>
    <n v="70"/>
    <s v="Good"/>
  </r>
  <r>
    <n v="844"/>
    <x v="751"/>
    <x v="817"/>
    <n v="4"/>
    <s v="elective"/>
    <x v="2"/>
    <x v="11"/>
    <n v="59"/>
    <n v="0.88"/>
    <n v="0.67"/>
    <x v="0"/>
    <n v="110"/>
    <n v="157"/>
    <n v="90"/>
    <n v="55"/>
    <s v="Good"/>
  </r>
  <r>
    <n v="845"/>
    <x v="751"/>
    <x v="818"/>
    <n v="3"/>
    <s v="elective"/>
    <x v="2"/>
    <x v="13"/>
    <n v="77"/>
    <n v="3.94"/>
    <n v="1.36"/>
    <x v="0"/>
    <n v="84"/>
    <n v="168"/>
    <n v="89"/>
    <n v="45"/>
    <s v="Moderate"/>
  </r>
  <r>
    <n v="846"/>
    <x v="752"/>
    <x v="819"/>
    <n v="2"/>
    <s v="elective"/>
    <x v="0"/>
    <x v="12"/>
    <n v="82"/>
    <n v="13.89"/>
    <n v="1.87"/>
    <x v="0"/>
    <n v="64"/>
    <n v="171"/>
    <n v="81"/>
    <n v="50"/>
    <s v="Moderate"/>
  </r>
  <r>
    <n v="847"/>
    <x v="753"/>
    <x v="820"/>
    <n v="5"/>
    <s v="elective"/>
    <x v="4"/>
    <x v="10"/>
    <n v="28"/>
    <n v="4.6500000000000004"/>
    <n v="1.64"/>
    <x v="0"/>
    <n v="69"/>
    <n v="163"/>
    <n v="79"/>
    <n v="65"/>
    <s v="Good"/>
  </r>
  <r>
    <n v="848"/>
    <x v="754"/>
    <x v="820"/>
    <n v="4"/>
    <s v="urgent"/>
    <x v="2"/>
    <x v="7"/>
    <n v="67"/>
    <n v="7.09"/>
    <n v="3.43"/>
    <x v="0"/>
    <n v="130"/>
    <n v="169"/>
    <n v="74"/>
    <n v="43"/>
    <s v="Moderate"/>
  </r>
  <r>
    <n v="849"/>
    <x v="755"/>
    <x v="821"/>
    <n v="2"/>
    <s v="elective"/>
    <x v="3"/>
    <x v="12"/>
    <n v="82"/>
    <n v="8.9700000000000006"/>
    <n v="4.49"/>
    <x v="0"/>
    <n v="72"/>
    <n v="187"/>
    <n v="83"/>
    <n v="49"/>
    <s v="Moderate"/>
  </r>
  <r>
    <n v="850"/>
    <x v="756"/>
    <x v="822"/>
    <n v="5"/>
    <s v="urgent"/>
    <x v="2"/>
    <x v="11"/>
    <n v="68"/>
    <n v="2.72"/>
    <n v="1"/>
    <x v="0"/>
    <n v="86"/>
    <n v="173"/>
    <n v="92"/>
    <n v="59"/>
    <s v="Good"/>
  </r>
  <r>
    <n v="851"/>
    <x v="757"/>
    <x v="823"/>
    <n v="4"/>
    <s v="elective"/>
    <x v="0"/>
    <x v="7"/>
    <n v="62"/>
    <n v="2.97"/>
    <n v="0.86"/>
    <x v="0"/>
    <n v="71"/>
    <n v="173"/>
    <n v="73"/>
    <n v="64"/>
    <s v="Good"/>
  </r>
  <r>
    <n v="852"/>
    <x v="758"/>
    <x v="824"/>
    <n v="4"/>
    <s v="elective"/>
    <x v="0"/>
    <x v="7"/>
    <n v="72"/>
    <n v="7.65"/>
    <n v="1.17"/>
    <x v="0"/>
    <n v="62"/>
    <n v="175"/>
    <n v="95"/>
    <n v="41"/>
    <s v="Moderate"/>
  </r>
  <r>
    <n v="853"/>
    <x v="749"/>
    <x v="825"/>
    <n v="5"/>
    <s v="elective"/>
    <x v="2"/>
    <x v="15"/>
    <n v="68"/>
    <n v="1.59"/>
    <n v="0.7"/>
    <x v="0"/>
    <n v="127"/>
    <n v="165"/>
    <n v="69"/>
    <n v="66"/>
    <s v="Good"/>
  </r>
  <r>
    <n v="854"/>
    <x v="759"/>
    <x v="826"/>
    <n v="2"/>
    <s v="urgent"/>
    <x v="2"/>
    <x v="11"/>
    <n v="69"/>
    <n v="2.9"/>
    <n v="1.03"/>
    <x v="0"/>
    <n v="120"/>
    <n v="166"/>
    <n v="65"/>
    <n v="55"/>
    <s v="Good"/>
  </r>
  <r>
    <n v="855"/>
    <x v="760"/>
    <x v="827"/>
    <n v="2"/>
    <s v="urgent"/>
    <x v="3"/>
    <x v="11"/>
    <n v="82"/>
    <n v="6.61"/>
    <n v="5.56"/>
    <x v="0"/>
    <n v="104"/>
    <n v="163"/>
    <n v="99"/>
    <n v="55"/>
    <s v="Good"/>
  </r>
  <r>
    <n v="856"/>
    <x v="761"/>
    <x v="828"/>
    <n v="5"/>
    <s v="elective"/>
    <x v="2"/>
    <x v="15"/>
    <n v="74"/>
    <n v="2.36"/>
    <n v="1.18"/>
    <x v="0"/>
    <n v="67"/>
    <n v="180"/>
    <n v="98"/>
    <n v="48"/>
    <s v="Moderate"/>
  </r>
  <r>
    <n v="857"/>
    <x v="762"/>
    <x v="828"/>
    <n v="4"/>
    <s v="elective"/>
    <x v="2"/>
    <x v="7"/>
    <n v="77"/>
    <n v="2.87"/>
    <n v="1.0900000000000001"/>
    <x v="0"/>
    <n v="70"/>
    <n v="180"/>
    <n v="100"/>
    <n v="52"/>
    <s v="Good"/>
  </r>
  <r>
    <n v="858"/>
    <x v="763"/>
    <x v="829"/>
    <n v="5"/>
    <s v="elective"/>
    <x v="3"/>
    <x v="12"/>
    <n v="82"/>
    <n v="18.25"/>
    <n v="9.65"/>
    <x v="1"/>
    <n v="86"/>
    <n v="176"/>
    <n v="9.5"/>
    <n v="57"/>
    <s v="Good"/>
  </r>
  <r>
    <n v="859"/>
    <x v="764"/>
    <x v="830"/>
    <n v="5"/>
    <s v="elective"/>
    <x v="3"/>
    <x v="12"/>
    <n v="73"/>
    <n v="8.82"/>
    <n v="3.86"/>
    <x v="0"/>
    <n v="134"/>
    <n v="176"/>
    <n v="100"/>
    <n v="41"/>
    <s v="Moderate"/>
  </r>
  <r>
    <n v="860"/>
    <x v="765"/>
    <x v="831"/>
    <n v="4"/>
    <s v="elective"/>
    <x v="0"/>
    <x v="6"/>
    <n v="69"/>
    <n v="5.92"/>
    <n v="7.08"/>
    <x v="0"/>
    <n v="89"/>
    <n v="161"/>
    <n v="86"/>
    <n v="28"/>
    <s v="Poor"/>
  </r>
  <r>
    <n v="861"/>
    <x v="765"/>
    <x v="832"/>
    <n v="6"/>
    <s v="elective"/>
    <x v="4"/>
    <x v="1"/>
    <n v="77"/>
    <n v="18.37"/>
    <n v="1.92"/>
    <x v="0"/>
    <n v="92"/>
    <n v="172"/>
    <n v="77"/>
    <n v="57"/>
    <s v="Good"/>
  </r>
  <r>
    <n v="862"/>
    <x v="766"/>
    <x v="833"/>
    <n v="5"/>
    <s v="elective"/>
    <x v="2"/>
    <x v="3"/>
    <n v="56"/>
    <n v="0.88"/>
    <n v="0.5"/>
    <x v="0"/>
    <n v="76"/>
    <n v="174"/>
    <n v="83"/>
    <n v="40"/>
    <s v="Moderate"/>
  </r>
  <r>
    <n v="863"/>
    <x v="767"/>
    <x v="834"/>
    <n v="3"/>
    <s v="elective"/>
    <x v="0"/>
    <x v="0"/>
    <n v="58"/>
    <n v="2.08"/>
    <n v="0.84"/>
    <x v="0"/>
    <n v="93"/>
    <n v="170"/>
    <n v="72"/>
    <n v="60"/>
    <s v="Good"/>
  </r>
  <r>
    <n v="864"/>
    <x v="768"/>
    <x v="835"/>
    <n v="2"/>
    <s v="elective"/>
    <x v="0"/>
    <x v="12"/>
    <n v="78"/>
    <n v="9.43"/>
    <n v="2.17"/>
    <x v="0"/>
    <n v="196"/>
    <n v="168"/>
    <n v="111"/>
    <n v="40"/>
    <s v="Moderate"/>
  </r>
  <r>
    <n v="865"/>
    <x v="769"/>
    <x v="836"/>
    <n v="2"/>
    <s v="elective"/>
    <x v="0"/>
    <x v="12"/>
    <n v="70"/>
    <n v="13.24"/>
    <n v="3.14"/>
    <x v="0"/>
    <n v="112"/>
    <n v="178"/>
    <n v="85"/>
    <n v="60"/>
    <s v="Good"/>
  </r>
  <r>
    <n v="866"/>
    <x v="770"/>
    <x v="837"/>
    <n v="6"/>
    <s v="urgent"/>
    <x v="3"/>
    <x v="1"/>
    <n v="72"/>
    <n v="3.51"/>
    <n v="1.66"/>
    <x v="0"/>
    <n v="83"/>
    <n v="163"/>
    <n v="75"/>
    <n v="29"/>
    <s v="Poor"/>
  </r>
  <r>
    <n v="867"/>
    <x v="771"/>
    <x v="838"/>
    <n v="4"/>
    <s v="urgent"/>
    <x v="2"/>
    <x v="6"/>
    <n v="72"/>
    <n v="3.91"/>
    <n v="2.27"/>
    <x v="0"/>
    <n v="110"/>
    <n v="154"/>
    <n v="88"/>
    <n v="29"/>
    <s v="Poor"/>
  </r>
  <r>
    <n v="868"/>
    <x v="772"/>
    <x v="839"/>
    <n v="3"/>
    <s v="urgent"/>
    <x v="2"/>
    <x v="0"/>
    <n v="61"/>
    <n v="1.01"/>
    <n v="0.71"/>
    <x v="0"/>
    <n v="85"/>
    <n v="173"/>
    <n v="82"/>
    <n v="25"/>
    <s v="Poor"/>
  </r>
  <r>
    <n v="869"/>
    <x v="773"/>
    <x v="840"/>
    <n v="5"/>
    <s v="urgent"/>
    <x v="2"/>
    <x v="3"/>
    <n v="65"/>
    <n v="13.48"/>
    <n v="25.78"/>
    <x v="0"/>
    <n v="78"/>
    <n v="167"/>
    <n v="72"/>
    <n v="52"/>
    <s v="Good"/>
  </r>
  <r>
    <n v="870"/>
    <x v="774"/>
    <x v="841"/>
    <n v="2"/>
    <s v="urgent"/>
    <x v="3"/>
    <x v="8"/>
    <n v="77"/>
    <n v="9.99"/>
    <n v="12.6"/>
    <x v="0"/>
    <n v="132"/>
    <n v="182"/>
    <n v="82"/>
    <n v="51"/>
    <s v="Good"/>
  </r>
  <r>
    <n v="871"/>
    <x v="775"/>
    <x v="842"/>
    <n v="5"/>
    <s v="urgent"/>
    <x v="3"/>
    <x v="4"/>
    <n v="79"/>
    <n v="5.48"/>
    <n v="3.61"/>
    <x v="0"/>
    <n v="74"/>
    <n v="170"/>
    <n v="70"/>
    <n v="47"/>
    <s v="Moderate"/>
  </r>
  <r>
    <n v="872"/>
    <x v="776"/>
    <x v="842"/>
    <n v="4"/>
    <s v="elective"/>
    <x v="0"/>
    <x v="12"/>
    <n v="53"/>
    <n v="1.51"/>
    <n v="0.67"/>
    <x v="0"/>
    <n v="99"/>
    <n v="179"/>
    <n v="110"/>
    <n v="37"/>
    <s v="Moderate"/>
  </r>
  <r>
    <n v="873"/>
    <x v="777"/>
    <x v="843"/>
    <n v="6"/>
    <s v="urgent"/>
    <x v="2"/>
    <x v="15"/>
    <n v="74"/>
    <n v="15.4"/>
    <n v="4.2699999999999996"/>
    <x v="0"/>
    <n v="65"/>
    <n v="171"/>
    <n v="80"/>
    <n v="55"/>
    <s v="Good"/>
  </r>
  <r>
    <n v="874"/>
    <x v="776"/>
    <x v="844"/>
    <n v="4"/>
    <s v="elective"/>
    <x v="3"/>
    <x v="12"/>
    <n v="80"/>
    <n v="5.83"/>
    <n v="2.73"/>
    <x v="0"/>
    <n v="76"/>
    <n v="147"/>
    <n v="50"/>
    <n v="35"/>
    <s v="Moderate"/>
  </r>
  <r>
    <n v="875"/>
    <x v="776"/>
    <x v="845"/>
    <n v="6"/>
    <s v="elective"/>
    <x v="0"/>
    <x v="15"/>
    <n v="79"/>
    <n v="8.1"/>
    <n v="2.12"/>
    <x v="0"/>
    <n v="104"/>
    <n v="174"/>
    <n v="95"/>
    <n v="65"/>
    <s v="Good"/>
  </r>
  <r>
    <n v="876"/>
    <x v="778"/>
    <x v="846"/>
    <n v="5"/>
    <s v="elective"/>
    <x v="3"/>
    <x v="4"/>
    <n v="55"/>
    <n v="1.51"/>
    <n v="0.96"/>
    <x v="0"/>
    <n v="107"/>
    <n v="160"/>
    <n v="63"/>
    <n v="55"/>
    <s v="Good"/>
  </r>
  <r>
    <n v="877"/>
    <x v="779"/>
    <x v="847"/>
    <n v="2"/>
    <s v="elective"/>
    <x v="0"/>
    <x v="8"/>
    <n v="56"/>
    <n v="5.96"/>
    <n v="5.22"/>
    <x v="0"/>
    <n v="98"/>
    <n v="181"/>
    <n v="91"/>
    <n v="55"/>
    <s v="Good"/>
  </r>
  <r>
    <n v="878"/>
    <x v="780"/>
    <x v="848"/>
    <n v="4"/>
    <s v="elective"/>
    <x v="0"/>
    <x v="13"/>
    <n v="67"/>
    <n v="4.09"/>
    <n v="0.82"/>
    <x v="0"/>
    <n v="100"/>
    <n v="167"/>
    <n v="57"/>
    <n v="15"/>
    <s v="Very Poor"/>
  </r>
  <r>
    <n v="879"/>
    <x v="781"/>
    <x v="849"/>
    <n v="2"/>
    <s v="elective"/>
    <x v="0"/>
    <x v="2"/>
    <n v="64"/>
    <n v="6.88"/>
    <n v="3.95"/>
    <x v="0"/>
    <n v="81"/>
    <n v="182"/>
    <n v="113"/>
    <n v="51"/>
    <s v="Good"/>
  </r>
  <r>
    <n v="880"/>
    <x v="782"/>
    <x v="850"/>
    <n v="4"/>
    <s v="elective"/>
    <x v="3"/>
    <x v="15"/>
    <n v="69"/>
    <n v="5.42"/>
    <n v="1.89"/>
    <x v="0"/>
    <n v="62"/>
    <n v="176"/>
    <n v="89"/>
    <n v="62"/>
    <s v="Good"/>
  </r>
  <r>
    <n v="881"/>
    <x v="783"/>
    <x v="851"/>
    <n v="5"/>
    <s v="urgent"/>
    <x v="2"/>
    <x v="11"/>
    <n v="52"/>
    <n v="1.51"/>
    <n v="1.34"/>
    <x v="0"/>
    <n v="89"/>
    <n v="159"/>
    <n v="68"/>
    <n v="55"/>
    <s v="Good"/>
  </r>
  <r>
    <n v="882"/>
    <x v="784"/>
    <x v="852"/>
    <n v="6"/>
    <s v="urgent"/>
    <x v="2"/>
    <x v="0"/>
    <n v="82"/>
    <n v="6.63"/>
    <n v="1.49"/>
    <x v="0"/>
    <n v="99"/>
    <n v="166"/>
    <n v="91"/>
    <n v="52"/>
    <s v="Good"/>
  </r>
  <r>
    <n v="883"/>
    <x v="785"/>
    <x v="853"/>
    <n v="6"/>
    <s v="elective"/>
    <x v="2"/>
    <x v="0"/>
    <n v="63"/>
    <n v="1.59"/>
    <n v="1.07"/>
    <x v="0"/>
    <n v="79"/>
    <n v="183"/>
    <n v="73"/>
    <n v="50"/>
    <s v="Moderate"/>
  </r>
  <r>
    <n v="884"/>
    <x v="786"/>
    <x v="854"/>
    <n v="5"/>
    <s v="elective"/>
    <x v="2"/>
    <x v="11"/>
    <n v="66"/>
    <n v="7.54"/>
    <n v="12.87"/>
    <x v="0"/>
    <n v="75"/>
    <n v="173"/>
    <n v="100"/>
    <n v="51"/>
    <s v="Good"/>
  </r>
  <r>
    <n v="885"/>
    <x v="787"/>
    <x v="855"/>
    <n v="4"/>
    <s v="urgent"/>
    <x v="2"/>
    <x v="15"/>
    <n v="78"/>
    <n v="8.18"/>
    <n v="1.78"/>
    <x v="0"/>
    <n v="87"/>
    <n v="170"/>
    <n v="70"/>
    <n v="54"/>
    <s v="Good"/>
  </r>
  <r>
    <n v="886"/>
    <x v="788"/>
    <x v="856"/>
    <n v="2"/>
    <s v="elective"/>
    <x v="0"/>
    <x v="2"/>
    <n v="72"/>
    <n v="4.8099999999999996"/>
    <n v="2.27"/>
    <x v="0"/>
    <n v="120"/>
    <n v="179"/>
    <n v="100"/>
    <n v="53"/>
    <s v="Good"/>
  </r>
  <r>
    <n v="887"/>
    <x v="789"/>
    <x v="857"/>
    <n v="2"/>
    <s v="elective"/>
    <x v="4"/>
    <x v="12"/>
    <n v="69"/>
    <n v="37.47"/>
    <n v="12.1"/>
    <x v="0"/>
    <n v="144"/>
    <n v="162"/>
    <n v="65"/>
    <n v="55"/>
    <s v="Good"/>
  </r>
  <r>
    <n v="888"/>
    <x v="790"/>
    <x v="858"/>
    <n v="4"/>
    <s v="elective"/>
    <x v="0"/>
    <x v="11"/>
    <n v="85"/>
    <n v="7.96"/>
    <n v="1.36"/>
    <x v="0"/>
    <n v="107"/>
    <n v="160"/>
    <n v="71"/>
    <n v="55"/>
    <s v="Good"/>
  </r>
  <r>
    <n v="889"/>
    <x v="791"/>
    <x v="859"/>
    <n v="5"/>
    <s v="elective"/>
    <x v="2"/>
    <x v="16"/>
    <n v="67"/>
    <n v="1.49"/>
    <n v="0.68"/>
    <x v="0"/>
    <n v="80"/>
    <n v="170"/>
    <n v="80"/>
    <n v="40"/>
    <s v="Moderate"/>
  </r>
  <r>
    <n v="890"/>
    <x v="792"/>
    <x v="860"/>
    <n v="4"/>
    <s v="elective"/>
    <x v="2"/>
    <x v="11"/>
    <n v="74"/>
    <n v="4.45"/>
    <n v="1.41"/>
    <x v="0"/>
    <n v="63"/>
    <n v="173"/>
    <n v="83"/>
    <n v="46"/>
    <s v="Moderate"/>
  </r>
  <r>
    <n v="891"/>
    <x v="793"/>
    <x v="861"/>
    <n v="2"/>
    <s v="elective"/>
    <x v="0"/>
    <x v="12"/>
    <n v="67"/>
    <n v="7.07"/>
    <n v="2.11"/>
    <x v="0"/>
    <n v="72"/>
    <n v="165"/>
    <n v="92"/>
    <n v="65"/>
    <s v="Good"/>
  </r>
  <r>
    <n v="892"/>
    <x v="794"/>
    <x v="862"/>
    <n v="5"/>
    <s v="urgent"/>
    <x v="0"/>
    <x v="16"/>
    <n v="60"/>
    <n v="1.61"/>
    <n v="0.77"/>
    <x v="0"/>
    <n v="103"/>
    <n v="170"/>
    <n v="93"/>
    <n v="55"/>
    <s v="Good"/>
  </r>
  <r>
    <n v="893"/>
    <x v="795"/>
    <x v="863"/>
    <n v="4"/>
    <s v="elective"/>
    <x v="0"/>
    <x v="15"/>
    <n v="70"/>
    <n v="4.95"/>
    <n v="1.08"/>
    <x v="0"/>
    <n v="74"/>
    <n v="165"/>
    <n v="91"/>
    <n v="55"/>
    <s v="Good"/>
  </r>
  <r>
    <n v="894"/>
    <x v="796"/>
    <x v="864"/>
    <n v="2"/>
    <s v="urgent"/>
    <x v="2"/>
    <x v="11"/>
    <n v="72"/>
    <n v="5.26"/>
    <n v="2.0699999999999998"/>
    <x v="0"/>
    <n v="81"/>
    <n v="158"/>
    <n v="83"/>
    <n v="56"/>
    <s v="Good"/>
  </r>
  <r>
    <n v="895"/>
    <x v="797"/>
    <x v="865"/>
    <n v="5"/>
    <s v="elective"/>
    <x v="0"/>
    <x v="7"/>
    <n v="64"/>
    <n v="2.09"/>
    <n v="1.07"/>
    <x v="0"/>
    <n v="112"/>
    <n v="183"/>
    <n v="77"/>
    <n v="55"/>
    <s v="Good"/>
  </r>
  <r>
    <n v="896"/>
    <x v="798"/>
    <x v="866"/>
    <n v="6"/>
    <s v="urgent"/>
    <x v="2"/>
    <x v="16"/>
    <n v="45"/>
    <n v="0.88"/>
    <n v="0.69"/>
    <x v="0"/>
    <n v="78"/>
    <n v="176"/>
    <n v="107"/>
    <n v="55"/>
    <s v="Good"/>
  </r>
  <r>
    <n v="897"/>
    <x v="799"/>
    <x v="867"/>
    <n v="5"/>
    <s v="elective"/>
    <x v="2"/>
    <x v="7"/>
    <n v="45"/>
    <n v="0.88"/>
    <n v="0.5"/>
    <x v="0"/>
    <n v="74"/>
    <n v="169"/>
    <n v="85"/>
    <n v="55"/>
    <s v="Good"/>
  </r>
  <r>
    <n v="898"/>
    <x v="800"/>
    <x v="868"/>
    <n v="2"/>
    <s v="elective"/>
    <x v="2"/>
    <x v="11"/>
    <n v="71"/>
    <n v="1.94"/>
    <n v="0.76"/>
    <x v="0"/>
    <n v="87"/>
    <n v="154"/>
    <n v="88"/>
    <n v="65"/>
    <s v="Good"/>
  </r>
  <r>
    <n v="899"/>
    <x v="801"/>
    <x v="869"/>
    <n v="4"/>
    <s v="elective"/>
    <x v="4"/>
    <x v="1"/>
    <n v="46"/>
    <n v="4.6500000000000004"/>
    <n v="1.64"/>
    <x v="0"/>
    <n v="89"/>
    <n v="176"/>
    <n v="104"/>
    <n v="64"/>
    <s v="Good"/>
  </r>
  <r>
    <n v="900"/>
    <x v="802"/>
    <x v="870"/>
    <n v="5"/>
    <s v="elective"/>
    <x v="3"/>
    <x v="0"/>
    <n v="83"/>
    <n v="9.52"/>
    <n v="2.73"/>
    <x v="0"/>
    <n v="77"/>
    <n v="174"/>
    <n v="79"/>
    <n v="53"/>
    <s v="Good"/>
  </r>
  <r>
    <n v="901"/>
    <x v="803"/>
    <x v="871"/>
    <n v="4"/>
    <s v="elective"/>
    <x v="2"/>
    <x v="1"/>
    <n v="64"/>
    <n v="1.23"/>
    <n v="0.56000000000000005"/>
    <x v="0"/>
    <n v="75"/>
    <n v="158"/>
    <n v="81"/>
    <n v="70"/>
    <s v="Good"/>
  </r>
  <r>
    <n v="902"/>
    <x v="804"/>
    <x v="872"/>
    <n v="5"/>
    <s v="elective"/>
    <x v="2"/>
    <x v="0"/>
    <n v="70"/>
    <n v="1.82"/>
    <n v="0.74"/>
    <x v="0"/>
    <n v="80"/>
    <n v="155"/>
    <n v="75"/>
    <n v="55"/>
    <s v="Good"/>
  </r>
  <r>
    <n v="903"/>
    <x v="805"/>
    <x v="873"/>
    <n v="4"/>
    <s v="elective"/>
    <x v="2"/>
    <x v="6"/>
    <n v="74"/>
    <n v="11.1"/>
    <n v="2.59"/>
    <x v="0"/>
    <n v="88"/>
    <n v="170"/>
    <n v="78"/>
    <n v="35"/>
    <s v="Moderate"/>
  </r>
  <r>
    <n v="904"/>
    <x v="806"/>
    <x v="874"/>
    <n v="6"/>
    <s v="elective"/>
    <x v="3"/>
    <x v="1"/>
    <n v="66"/>
    <n v="2.38"/>
    <n v="1.02"/>
    <x v="0"/>
    <n v="127"/>
    <n v="150"/>
    <n v="64"/>
    <n v="45"/>
    <s v="Moderate"/>
  </r>
  <r>
    <n v="905"/>
    <x v="807"/>
    <x v="875"/>
    <n v="4"/>
    <s v="elective"/>
    <x v="2"/>
    <x v="12"/>
    <n v="65"/>
    <n v="3.2"/>
    <n v="1.06"/>
    <x v="0"/>
    <n v="78"/>
    <n v="170"/>
    <n v="83"/>
    <n v="57"/>
    <s v="Good"/>
  </r>
  <r>
    <n v="906"/>
    <x v="808"/>
    <x v="876"/>
    <n v="5"/>
    <s v="urgent"/>
    <x v="2"/>
    <x v="6"/>
    <n v="83"/>
    <n v="20.21"/>
    <n v="27.44"/>
    <x v="0"/>
    <n v="66"/>
    <n v="160"/>
    <n v="64"/>
    <n v="29"/>
    <s v="Poor"/>
  </r>
  <r>
    <n v="907"/>
    <x v="809"/>
    <x v="877"/>
    <n v="6"/>
    <s v="elective"/>
    <x v="4"/>
    <x v="1"/>
    <n v="66"/>
    <n v="7.21"/>
    <n v="1.95"/>
    <x v="0"/>
    <n v="68"/>
    <n v="150"/>
    <n v="64"/>
    <n v="55"/>
    <s v="Good"/>
  </r>
  <r>
    <n v="908"/>
    <x v="810"/>
    <x v="878"/>
    <n v="2"/>
    <s v="urgent"/>
    <x v="2"/>
    <x v="6"/>
    <n v="85"/>
    <n v="4.79"/>
    <n v="2.09"/>
    <x v="0"/>
    <n v="147"/>
    <n v="150"/>
    <n v="68"/>
    <n v="25"/>
    <s v="Poor"/>
  </r>
  <r>
    <n v="909"/>
    <x v="811"/>
    <x v="879"/>
    <n v="6"/>
    <s v="elective"/>
    <x v="4"/>
    <x v="3"/>
    <n v="73"/>
    <n v="11.02"/>
    <n v="4.76"/>
    <x v="0"/>
    <n v="71"/>
    <n v="170"/>
    <n v="80"/>
    <n v="25"/>
    <s v="Poor"/>
  </r>
  <r>
    <n v="910"/>
    <x v="812"/>
    <x v="880"/>
    <n v="4"/>
    <s v="urgent"/>
    <x v="0"/>
    <x v="8"/>
    <n v="73"/>
    <n v="9.4"/>
    <n v="6.41"/>
    <x v="0"/>
    <n v="71"/>
    <n v="172"/>
    <n v="90"/>
    <n v="40"/>
    <s v="Moderate"/>
  </r>
  <r>
    <n v="911"/>
    <x v="813"/>
    <x v="881"/>
    <n v="5"/>
    <s v="urgent"/>
    <x v="3"/>
    <x v="4"/>
    <n v="68"/>
    <n v="42.5"/>
    <n v="57.27"/>
    <x v="1"/>
    <n v="86"/>
    <n v="148"/>
    <n v="61"/>
    <n v="55"/>
    <s v="Good"/>
  </r>
  <r>
    <n v="912"/>
    <x v="814"/>
    <x v="882"/>
    <n v="2"/>
    <s v="urgent"/>
    <x v="0"/>
    <x v="6"/>
    <n v="81"/>
    <n v="8.44"/>
    <n v="3.93"/>
    <x v="0"/>
    <n v="75"/>
    <n v="179"/>
    <n v="101"/>
    <n v="40"/>
    <s v="Moderate"/>
  </r>
  <r>
    <n v="913"/>
    <x v="815"/>
    <x v="883"/>
    <n v="5"/>
    <s v="elective"/>
    <x v="0"/>
    <x v="11"/>
    <n v="75"/>
    <n v="12.28"/>
    <n v="2.83"/>
    <x v="0"/>
    <n v="69"/>
    <n v="176"/>
    <n v="91"/>
    <n v="40"/>
    <s v="Moderate"/>
  </r>
  <r>
    <n v="914"/>
    <x v="816"/>
    <x v="884"/>
    <n v="2"/>
    <s v="elective"/>
    <x v="0"/>
    <x v="2"/>
    <n v="49"/>
    <n v="2.08"/>
    <n v="0.84"/>
    <x v="1"/>
    <n v="82"/>
    <n v="175"/>
    <n v="95"/>
    <n v="45"/>
    <s v="Moderate"/>
  </r>
  <r>
    <n v="915"/>
    <x v="816"/>
    <x v="885"/>
    <n v="4"/>
    <s v="elective"/>
    <x v="3"/>
    <x v="15"/>
    <n v="72"/>
    <n v="5.24"/>
    <n v="2.4700000000000002"/>
    <x v="0"/>
    <n v="68"/>
    <n v="178"/>
    <n v="98"/>
    <n v="20"/>
    <s v="Very Poor"/>
  </r>
  <r>
    <n v="916"/>
    <x v="816"/>
    <x v="885"/>
    <n v="6"/>
    <s v="elective"/>
    <x v="2"/>
    <x v="0"/>
    <n v="60"/>
    <n v="0.94"/>
    <n v="0.67"/>
    <x v="0"/>
    <n v="77"/>
    <n v="157"/>
    <n v="69"/>
    <n v="45"/>
    <s v="Moderate"/>
  </r>
  <r>
    <n v="917"/>
    <x v="817"/>
    <x v="886"/>
    <n v="6"/>
    <s v="urgent"/>
    <x v="3"/>
    <x v="0"/>
    <n v="84"/>
    <n v="54.16"/>
    <n v="9.5"/>
    <x v="0"/>
    <n v="98"/>
    <n v="160"/>
    <n v="79"/>
    <n v="65"/>
    <s v="Good"/>
  </r>
  <r>
    <n v="918"/>
    <x v="818"/>
    <x v="887"/>
    <n v="4"/>
    <s v="elective"/>
    <x v="0"/>
    <x v="11"/>
    <n v="79"/>
    <n v="15.46"/>
    <n v="2.35"/>
    <x v="0"/>
    <n v="69"/>
    <n v="155"/>
    <n v="62"/>
    <n v="45"/>
    <s v="Moderate"/>
  </r>
  <r>
    <n v="919"/>
    <x v="811"/>
    <x v="888"/>
    <n v="3"/>
    <s v="elective"/>
    <x v="3"/>
    <x v="6"/>
    <n v="81"/>
    <n v="12.49"/>
    <n v="7.82"/>
    <x v="0"/>
    <n v="69"/>
    <n v="174"/>
    <n v="105"/>
    <n v="54"/>
    <s v="Good"/>
  </r>
  <r>
    <n v="920"/>
    <x v="819"/>
    <x v="889"/>
    <n v="4"/>
    <s v="urgent"/>
    <x v="0"/>
    <x v="12"/>
    <n v="78"/>
    <n v="5.14"/>
    <n v="1.27"/>
    <x v="0"/>
    <n v="93"/>
    <n v="162"/>
    <n v="69"/>
    <n v="40"/>
    <s v="Moderate"/>
  </r>
  <r>
    <n v="921"/>
    <x v="820"/>
    <x v="890"/>
    <n v="2"/>
    <s v="elective"/>
    <x v="2"/>
    <x v="11"/>
    <n v="50"/>
    <n v="5.0199999999999996"/>
    <n v="4.53"/>
    <x v="0"/>
    <n v="77"/>
    <n v="169"/>
    <n v="99"/>
    <n v="60"/>
    <s v="Good"/>
  </r>
  <r>
    <n v="922"/>
    <x v="821"/>
    <x v="891"/>
    <n v="5"/>
    <s v="elective"/>
    <x v="4"/>
    <x v="7"/>
    <n v="49"/>
    <n v="31.52"/>
    <n v="10.51"/>
    <x v="0"/>
    <n v="82"/>
    <n v="175"/>
    <n v="77"/>
    <n v="33"/>
    <s v="Moderate"/>
  </r>
  <r>
    <n v="923"/>
    <x v="822"/>
    <x v="891"/>
    <n v="6"/>
    <s v="elective"/>
    <x v="0"/>
    <x v="1"/>
    <n v="77"/>
    <n v="4.83"/>
    <n v="0.81"/>
    <x v="0"/>
    <n v="62"/>
    <n v="176"/>
    <n v="93"/>
    <n v="65"/>
    <s v="Good"/>
  </r>
  <r>
    <n v="924"/>
    <x v="812"/>
    <x v="892"/>
    <n v="4"/>
    <s v="urgent"/>
    <x v="3"/>
    <x v="12"/>
    <n v="72"/>
    <n v="3.51"/>
    <n v="1.84"/>
    <x v="0"/>
    <n v="116"/>
    <n v="163"/>
    <n v="64"/>
    <n v="15"/>
    <s v="Very Poor"/>
  </r>
  <r>
    <n v="925"/>
    <x v="822"/>
    <x v="893"/>
    <n v="3"/>
    <s v="elective"/>
    <x v="2"/>
    <x v="6"/>
    <n v="51"/>
    <n v="0.88"/>
    <n v="0.79"/>
    <x v="0"/>
    <n v="131"/>
    <n v="188"/>
    <n v="109"/>
    <n v="60"/>
    <s v="Good"/>
  </r>
  <r>
    <n v="926"/>
    <x v="823"/>
    <x v="894"/>
    <n v="2"/>
    <s v="urgent"/>
    <x v="2"/>
    <x v="11"/>
    <n v="70"/>
    <n v="3.09"/>
    <n v="3.08"/>
    <x v="0"/>
    <n v="79"/>
    <n v="178"/>
    <n v="80"/>
    <n v="60"/>
    <s v="Good"/>
  </r>
  <r>
    <n v="927"/>
    <x v="824"/>
    <x v="895"/>
    <n v="6"/>
    <s v="elective"/>
    <x v="2"/>
    <x v="1"/>
    <n v="73"/>
    <n v="3.05"/>
    <n v="0.9"/>
    <x v="0"/>
    <n v="81"/>
    <n v="163"/>
    <n v="67"/>
    <n v="55"/>
    <s v="Good"/>
  </r>
  <r>
    <n v="928"/>
    <x v="825"/>
    <x v="896"/>
    <n v="2"/>
    <s v="elective"/>
    <x v="0"/>
    <x v="8"/>
    <n v="77"/>
    <n v="6.59"/>
    <n v="1.01"/>
    <x v="0"/>
    <n v="103"/>
    <n v="164"/>
    <n v="70"/>
    <n v="65"/>
    <s v="Good"/>
  </r>
  <r>
    <n v="929"/>
    <x v="826"/>
    <x v="897"/>
    <n v="6"/>
    <s v="elective"/>
    <x v="0"/>
    <x v="16"/>
    <n v="78"/>
    <n v="5.14"/>
    <n v="1.51"/>
    <x v="0"/>
    <n v="112"/>
    <n v="167"/>
    <n v="100"/>
    <n v="39"/>
    <s v="Moderate"/>
  </r>
  <r>
    <n v="930"/>
    <x v="827"/>
    <x v="898"/>
    <n v="4"/>
    <s v="urgent"/>
    <x v="2"/>
    <x v="15"/>
    <n v="61"/>
    <n v="3"/>
    <n v="1.17"/>
    <x v="0"/>
    <n v="85"/>
    <n v="175"/>
    <n v="81"/>
    <n v="50"/>
    <s v="Moderate"/>
  </r>
  <r>
    <n v="931"/>
    <x v="828"/>
    <x v="899"/>
    <n v="5"/>
    <s v="elective"/>
    <x v="4"/>
    <x v="7"/>
    <n v="77"/>
    <n v="13.92"/>
    <n v="2.93"/>
    <x v="0"/>
    <n v="193"/>
    <n v="145"/>
    <n v="45"/>
    <n v="55"/>
    <s v="Good"/>
  </r>
  <r>
    <n v="932"/>
    <x v="827"/>
    <x v="900"/>
    <n v="6"/>
    <s v="elective"/>
    <x v="0"/>
    <x v="16"/>
    <n v="78"/>
    <n v="8.15"/>
    <n v="2.6"/>
    <x v="0"/>
    <n v="77"/>
    <n v="163"/>
    <n v="75"/>
    <n v="53"/>
    <s v="Good"/>
  </r>
  <r>
    <n v="933"/>
    <x v="829"/>
    <x v="901"/>
    <n v="2"/>
    <s v="elective"/>
    <x v="0"/>
    <x v="8"/>
    <n v="79"/>
    <n v="5.48"/>
    <n v="0.86"/>
    <x v="0"/>
    <n v="90"/>
    <n v="176"/>
    <n v="60"/>
    <n v="50"/>
    <s v="Moderate"/>
  </r>
  <r>
    <n v="934"/>
    <x v="830"/>
    <x v="902"/>
    <n v="1"/>
    <s v="emergency"/>
    <x v="4"/>
    <x v="6"/>
    <n v="49"/>
    <n v="16.079999999999998"/>
    <n v="3.24"/>
    <x v="0"/>
    <n v="105"/>
    <n v="158"/>
    <n v="63"/>
    <n v="60"/>
    <s v="Good"/>
  </r>
  <r>
    <n v="935"/>
    <x v="831"/>
    <x v="903"/>
    <n v="5"/>
    <s v="elective"/>
    <x v="3"/>
    <x v="8"/>
    <n v="68"/>
    <n v="2.71"/>
    <n v="1.46"/>
    <x v="0"/>
    <n v="95"/>
    <n v="168"/>
    <n v="65"/>
    <n v="46"/>
    <s v="Moderate"/>
  </r>
  <r>
    <n v="936"/>
    <x v="832"/>
    <x v="904"/>
    <n v="4"/>
    <s v="elective"/>
    <x v="3"/>
    <x v="11"/>
    <n v="64"/>
    <n v="2.09"/>
    <n v="1.07"/>
    <x v="0"/>
    <n v="67"/>
    <n v="182"/>
    <n v="85"/>
    <n v="55"/>
    <s v="Good"/>
  </r>
  <r>
    <n v="937"/>
    <x v="833"/>
    <x v="905"/>
    <n v="4"/>
    <s v="elective"/>
    <x v="2"/>
    <x v="11"/>
    <n v="58"/>
    <n v="1.43"/>
    <n v="0.67"/>
    <x v="0"/>
    <n v="71"/>
    <n v="170"/>
    <n v="76"/>
    <n v="47"/>
    <s v="Moderate"/>
  </r>
  <r>
    <n v="938"/>
    <x v="834"/>
    <x v="906"/>
    <n v="5"/>
    <s v="elective"/>
    <x v="0"/>
    <x v="8"/>
    <n v="80"/>
    <n v="8.61"/>
    <n v="1.34"/>
    <x v="0"/>
    <n v="75"/>
    <n v="159"/>
    <n v="65"/>
    <n v="20"/>
    <s v="Very Poor"/>
  </r>
  <r>
    <n v="939"/>
    <x v="835"/>
    <x v="907"/>
    <n v="2"/>
    <s v="emergency"/>
    <x v="0"/>
    <x v="8"/>
    <n v="25"/>
    <n v="8.57"/>
    <n v="3.21"/>
    <x v="0"/>
    <n v="70"/>
    <n v="173"/>
    <n v="64"/>
    <n v="44"/>
    <s v="Moderate"/>
  </r>
  <r>
    <n v="940"/>
    <x v="836"/>
    <x v="908"/>
    <n v="5"/>
    <s v="elective"/>
    <x v="3"/>
    <x v="3"/>
    <n v="73"/>
    <n v="9.43"/>
    <n v="4.8899999999999997"/>
    <x v="0"/>
    <n v="146"/>
    <n v="163"/>
    <n v="67"/>
    <n v="65"/>
    <s v="Good"/>
  </r>
  <r>
    <n v="941"/>
    <x v="837"/>
    <x v="909"/>
    <n v="6"/>
    <s v="elective"/>
    <x v="4"/>
    <x v="1"/>
    <n v="69"/>
    <n v="2.35"/>
    <n v="1.45"/>
    <x v="0"/>
    <n v="147"/>
    <n v="172"/>
    <n v="91"/>
    <n v="60"/>
    <s v="Good"/>
  </r>
  <r>
    <n v="942"/>
    <x v="837"/>
    <x v="910"/>
    <n v="4"/>
    <s v="elective"/>
    <x v="0"/>
    <x v="6"/>
    <n v="42"/>
    <n v="2.27"/>
    <n v="0.76"/>
    <x v="0"/>
    <n v="113"/>
    <n v="177"/>
    <n v="83"/>
    <n v="40"/>
    <s v="Moderate"/>
  </r>
  <r>
    <n v="943"/>
    <x v="837"/>
    <x v="911"/>
    <n v="2"/>
    <s v="elective"/>
    <x v="0"/>
    <x v="8"/>
    <n v="70"/>
    <n v="3.08"/>
    <n v="0.74"/>
    <x v="0"/>
    <n v="86"/>
    <n v="161"/>
    <n v="61"/>
    <n v="41"/>
    <s v="Moderate"/>
  </r>
  <r>
    <n v="944"/>
    <x v="838"/>
    <x v="912"/>
    <n v="4"/>
    <s v="urgent"/>
    <x v="3"/>
    <x v="6"/>
    <n v="73"/>
    <n v="3.74"/>
    <n v="1.89"/>
    <x v="0"/>
    <n v="107"/>
    <n v="174"/>
    <n v="92"/>
    <n v="45"/>
    <s v="Moderate"/>
  </r>
  <r>
    <n v="945"/>
    <x v="839"/>
    <x v="913"/>
    <n v="3"/>
    <s v="elective"/>
    <x v="2"/>
    <x v="0"/>
    <n v="49"/>
    <n v="0.88"/>
    <n v="0.55000000000000004"/>
    <x v="0"/>
    <n v="63"/>
    <n v="168"/>
    <n v="101"/>
    <n v="54"/>
    <s v="Good"/>
  </r>
  <r>
    <n v="946"/>
    <x v="840"/>
    <x v="914"/>
    <n v="2"/>
    <s v="elective"/>
    <x v="0"/>
    <x v="8"/>
    <n v="77"/>
    <n v="7.16"/>
    <n v="3.81"/>
    <x v="0"/>
    <n v="83"/>
    <n v="157"/>
    <n v="91"/>
    <n v="40"/>
    <s v="Moderate"/>
  </r>
  <r>
    <n v="947"/>
    <x v="840"/>
    <x v="915"/>
    <n v="6"/>
    <s v="elective"/>
    <x v="2"/>
    <x v="1"/>
    <n v="75"/>
    <n v="2.52"/>
    <n v="0.85"/>
    <x v="0"/>
    <n v="64"/>
    <n v="158"/>
    <n v="68"/>
    <n v="45"/>
    <s v="Moderate"/>
  </r>
  <r>
    <n v="948"/>
    <x v="841"/>
    <x v="915"/>
    <n v="5"/>
    <s v="urgent"/>
    <x v="2"/>
    <x v="3"/>
    <n v="66"/>
    <n v="4.5"/>
    <n v="2.52"/>
    <x v="0"/>
    <n v="112"/>
    <n v="174"/>
    <n v="88"/>
    <n v="45"/>
    <s v="Moderate"/>
  </r>
  <r>
    <n v="949"/>
    <x v="842"/>
    <x v="916"/>
    <n v="5"/>
    <s v="elective"/>
    <x v="4"/>
    <x v="1"/>
    <n v="63"/>
    <n v="3.33"/>
    <n v="1.21"/>
    <x v="0"/>
    <n v="69"/>
    <n v="193"/>
    <n v="115"/>
    <n v="35"/>
    <s v="Moderate"/>
  </r>
  <r>
    <n v="950"/>
    <x v="843"/>
    <x v="917"/>
    <n v="2"/>
    <s v="urgent"/>
    <x v="2"/>
    <x v="2"/>
    <n v="76"/>
    <n v="10.75"/>
    <n v="5.16"/>
    <x v="0"/>
    <n v="114"/>
    <n v="159"/>
    <n v="62"/>
    <n v="57"/>
    <s v="Good"/>
  </r>
  <r>
    <n v="951"/>
    <x v="844"/>
    <x v="918"/>
    <n v="6"/>
    <s v="elective"/>
    <x v="2"/>
    <x v="3"/>
    <n v="72"/>
    <n v="5"/>
    <n v="1.74"/>
    <x v="0"/>
    <n v="63"/>
    <n v="175"/>
    <n v="82"/>
    <n v="55"/>
    <s v="Good"/>
  </r>
  <r>
    <n v="952"/>
    <x v="845"/>
    <x v="919"/>
    <n v="2"/>
    <s v="elective"/>
    <x v="3"/>
    <x v="2"/>
    <n v="75"/>
    <n v="4.25"/>
    <n v="5.03"/>
    <x v="0"/>
    <n v="110"/>
    <n v="173"/>
    <n v="87"/>
    <n v="55"/>
    <s v="Good"/>
  </r>
  <r>
    <n v="953"/>
    <x v="846"/>
    <x v="920"/>
    <n v="5"/>
    <s v="elective"/>
    <x v="4"/>
    <x v="1"/>
    <n v="70"/>
    <n v="18.78"/>
    <n v="5.74"/>
    <x v="0"/>
    <n v="118"/>
    <n v="175"/>
    <n v="63"/>
    <n v="55"/>
    <s v="Good"/>
  </r>
  <r>
    <n v="954"/>
    <x v="847"/>
    <x v="921"/>
    <n v="6"/>
    <s v="elective"/>
    <x v="0"/>
    <x v="7"/>
    <n v="75"/>
    <n v="4.25"/>
    <n v="1.0900000000000001"/>
    <x v="0"/>
    <n v="80"/>
    <n v="172"/>
    <n v="90"/>
    <n v="29"/>
    <s v="Poor"/>
  </r>
  <r>
    <n v="955"/>
    <x v="848"/>
    <x v="922"/>
    <n v="4"/>
    <s v="elective"/>
    <x v="4"/>
    <x v="15"/>
    <n v="64"/>
    <n v="6.37"/>
    <n v="2.04"/>
    <x v="0"/>
    <n v="65"/>
    <n v="159"/>
    <n v="65"/>
    <n v="62"/>
    <s v="Good"/>
  </r>
  <r>
    <n v="956"/>
    <x v="849"/>
    <x v="923"/>
    <n v="5"/>
    <s v="urgent"/>
    <x v="3"/>
    <x v="11"/>
    <n v="82"/>
    <n v="20.54"/>
    <n v="7.5"/>
    <x v="0"/>
    <n v="79"/>
    <n v="160"/>
    <n v="70"/>
    <n v="46"/>
    <s v="Moderate"/>
  </r>
  <r>
    <n v="957"/>
    <x v="850"/>
    <x v="924"/>
    <n v="2"/>
    <s v="elective"/>
    <x v="0"/>
    <x v="2"/>
    <n v="62"/>
    <n v="3.87"/>
    <n v="1.18"/>
    <x v="0"/>
    <n v="81"/>
    <n v="180"/>
    <n v="85"/>
    <n v="57"/>
    <s v="Good"/>
  </r>
  <r>
    <n v="958"/>
    <x v="851"/>
    <x v="925"/>
    <n v="5"/>
    <s v="elective"/>
    <x v="3"/>
    <x v="11"/>
    <n v="74"/>
    <n v="3.99"/>
    <n v="1.92"/>
    <x v="0"/>
    <n v="77"/>
    <n v="186"/>
    <n v="107"/>
    <n v="45"/>
    <s v="Moderate"/>
  </r>
  <r>
    <n v="959"/>
    <x v="852"/>
    <x v="926"/>
    <n v="6"/>
    <s v="elective"/>
    <x v="4"/>
    <x v="1"/>
    <n v="54"/>
    <n v="4.6500000000000004"/>
    <n v="1.64"/>
    <x v="0"/>
    <n v="101"/>
    <n v="163"/>
    <n v="77"/>
    <n v="51"/>
    <s v="Good"/>
  </r>
  <r>
    <n v="960"/>
    <x v="853"/>
    <x v="927"/>
    <n v="4"/>
    <s v="urgent"/>
    <x v="3"/>
    <x v="15"/>
    <n v="56"/>
    <n v="2.27"/>
    <n v="2.16"/>
    <x v="0"/>
    <n v="76"/>
    <n v="187"/>
    <n v="112"/>
    <n v="28"/>
    <s v="Poor"/>
  </r>
  <r>
    <n v="961"/>
    <x v="854"/>
    <x v="928"/>
    <n v="2"/>
    <s v="elective"/>
    <x v="0"/>
    <x v="11"/>
    <n v="83"/>
    <n v="7.03"/>
    <n v="1.44"/>
    <x v="0"/>
    <n v="87"/>
    <n v="168"/>
    <n v="73"/>
    <n v="50"/>
    <s v="Moderate"/>
  </r>
  <r>
    <n v="962"/>
    <x v="855"/>
    <x v="928"/>
    <n v="5"/>
    <s v="urgent"/>
    <x v="2"/>
    <x v="7"/>
    <n v="76"/>
    <n v="9.16"/>
    <n v="5.41"/>
    <x v="0"/>
    <n v="80"/>
    <n v="172"/>
    <n v="73"/>
    <n v="19"/>
    <s v="Very Poor"/>
  </r>
  <r>
    <n v="963"/>
    <x v="856"/>
    <x v="929"/>
    <n v="3"/>
    <s v="elective"/>
    <x v="0"/>
    <x v="6"/>
    <n v="64"/>
    <n v="2.09"/>
    <n v="0.98"/>
    <x v="0"/>
    <n v="63"/>
    <n v="160"/>
    <n v="65"/>
    <n v="25"/>
    <s v="Poor"/>
  </r>
  <r>
    <n v="964"/>
    <x v="857"/>
    <x v="930"/>
    <n v="3"/>
    <s v="elective"/>
    <x v="0"/>
    <x v="6"/>
    <n v="73"/>
    <n v="5.13"/>
    <n v="1.35"/>
    <x v="0"/>
    <n v="103"/>
    <n v="174"/>
    <n v="72"/>
    <n v="31"/>
    <s v="Moderate"/>
  </r>
  <r>
    <n v="965"/>
    <x v="858"/>
    <x v="931"/>
    <n v="6"/>
    <s v="elective"/>
    <x v="0"/>
    <x v="1"/>
    <n v="55"/>
    <n v="2.08"/>
    <n v="0.62"/>
    <x v="0"/>
    <n v="75"/>
    <n v="177"/>
    <n v="108"/>
    <n v="55"/>
    <s v="Good"/>
  </r>
  <r>
    <n v="966"/>
    <x v="858"/>
    <x v="932"/>
    <n v="5"/>
    <s v="elective"/>
    <x v="0"/>
    <x v="7"/>
    <n v="57"/>
    <n v="1.51"/>
    <n v="0.56000000000000005"/>
    <x v="0"/>
    <n v="96"/>
    <n v="163"/>
    <n v="67"/>
    <n v="45"/>
    <s v="Moderate"/>
  </r>
  <r>
    <n v="967"/>
    <x v="859"/>
    <x v="933"/>
    <n v="4"/>
    <s v="elective"/>
    <x v="2"/>
    <x v="15"/>
    <n v="79"/>
    <n v="6.1"/>
    <n v="3.71"/>
    <x v="0"/>
    <n v="152"/>
    <n v="162"/>
    <n v="68"/>
    <n v="49"/>
    <s v="Moderate"/>
  </r>
  <r>
    <n v="968"/>
    <x v="860"/>
    <x v="934"/>
    <n v="2"/>
    <s v="urgent"/>
    <x v="1"/>
    <x v="11"/>
    <n v="61"/>
    <n v="4.38"/>
    <n v="3.22"/>
    <x v="0"/>
    <n v="108"/>
    <n v="173"/>
    <n v="76"/>
    <n v="32"/>
    <s v="Moderate"/>
  </r>
  <r>
    <n v="969"/>
    <x v="861"/>
    <x v="935"/>
    <n v="6"/>
    <s v="elective"/>
    <x v="0"/>
    <x v="16"/>
    <n v="51"/>
    <n v="1.51"/>
    <n v="0.56000000000000005"/>
    <x v="0"/>
    <n v="69"/>
    <n v="174"/>
    <n v="65"/>
    <n v="60"/>
    <s v="Good"/>
  </r>
  <r>
    <n v="970"/>
    <x v="862"/>
    <x v="936"/>
    <n v="5"/>
    <s v="elective"/>
    <x v="4"/>
    <x v="7"/>
    <n v="60"/>
    <n v="4.95"/>
    <n v="1.64"/>
    <x v="1"/>
    <n v="84"/>
    <n v="167"/>
    <n v="70"/>
    <n v="16"/>
    <s v="Very Poor"/>
  </r>
  <r>
    <n v="971"/>
    <x v="863"/>
    <x v="937"/>
    <n v="2"/>
    <s v="elective"/>
    <x v="2"/>
    <x v="11"/>
    <n v="49"/>
    <n v="0.88"/>
    <n v="0.56000000000000005"/>
    <x v="0"/>
    <n v="71"/>
    <n v="166"/>
    <n v="77"/>
    <n v="65"/>
    <s v="Good"/>
  </r>
  <r>
    <n v="972"/>
    <x v="864"/>
    <x v="938"/>
    <n v="4"/>
    <s v="urgent"/>
    <x v="2"/>
    <x v="16"/>
    <n v="78"/>
    <n v="7.64"/>
    <n v="4.2"/>
    <x v="0"/>
    <n v="147"/>
    <n v="170"/>
    <n v="74"/>
    <n v="40"/>
    <s v="Moderate"/>
  </r>
  <r>
    <n v="973"/>
    <x v="865"/>
    <x v="939"/>
    <n v="4"/>
    <s v="elective"/>
    <x v="0"/>
    <x v="0"/>
    <n v="61"/>
    <n v="4.96"/>
    <n v="2.93"/>
    <x v="0"/>
    <n v="141"/>
    <n v="171"/>
    <n v="95"/>
    <n v="65"/>
    <s v="Good"/>
  </r>
  <r>
    <n v="974"/>
    <x v="866"/>
    <x v="940"/>
    <n v="4"/>
    <s v="elective"/>
    <x v="0"/>
    <x v="0"/>
    <n v="71"/>
    <n v="3.29"/>
    <n v="1.03"/>
    <x v="0"/>
    <n v="66"/>
    <n v="175"/>
    <n v="85"/>
    <n v="31"/>
    <s v="Moderate"/>
  </r>
  <r>
    <n v="975"/>
    <x v="867"/>
    <x v="941"/>
    <n v="5"/>
    <s v="urgent"/>
    <x v="2"/>
    <x v="11"/>
    <n v="75"/>
    <n v="13.16"/>
    <n v="3.43"/>
    <x v="0"/>
    <n v="67"/>
    <n v="160"/>
    <n v="60"/>
    <n v="54"/>
    <s v="Good"/>
  </r>
  <r>
    <n v="976"/>
    <x v="868"/>
    <x v="941"/>
    <n v="2"/>
    <s v="elective"/>
    <x v="0"/>
    <x v="6"/>
    <n v="70"/>
    <n v="8.5299999999999994"/>
    <n v="5.26"/>
    <x v="0"/>
    <n v="111"/>
    <n v="177"/>
    <n v="91"/>
    <n v="55"/>
    <s v="Good"/>
  </r>
  <r>
    <n v="977"/>
    <x v="869"/>
    <x v="942"/>
    <n v="4"/>
    <s v="elective"/>
    <x v="0"/>
    <x v="8"/>
    <n v="83"/>
    <n v="9.52"/>
    <n v="4.13"/>
    <x v="0"/>
    <n v="74"/>
    <n v="147"/>
    <n v="57"/>
    <n v="35"/>
    <s v="Moderate"/>
  </r>
  <r>
    <n v="978"/>
    <x v="870"/>
    <x v="943"/>
    <n v="5"/>
    <s v="elective"/>
    <x v="3"/>
    <x v="11"/>
    <n v="73"/>
    <n v="3.74"/>
    <n v="1.38"/>
    <x v="0"/>
    <n v="98"/>
    <n v="160"/>
    <n v="71"/>
    <n v="55"/>
    <s v="Good"/>
  </r>
  <r>
    <n v="979"/>
    <x v="862"/>
    <x v="944"/>
    <n v="4"/>
    <s v="emergency"/>
    <x v="2"/>
    <x v="7"/>
    <n v="60"/>
    <n v="28.08"/>
    <n v="19.059999999999999"/>
    <x v="1"/>
    <n v="71"/>
    <n v="166"/>
    <n v="83"/>
    <n v="53"/>
    <s v="Good"/>
  </r>
  <r>
    <n v="980"/>
    <x v="871"/>
    <x v="945"/>
    <n v="2"/>
    <s v="elective"/>
    <x v="2"/>
    <x v="6"/>
    <n v="70"/>
    <n v="3.44"/>
    <n v="2.04"/>
    <x v="0"/>
    <n v="75"/>
    <n v="167"/>
    <n v="73"/>
    <n v="42"/>
    <s v="Moderate"/>
  </r>
  <r>
    <n v="981"/>
    <x v="872"/>
    <x v="946"/>
    <n v="1"/>
    <s v="elective"/>
    <x v="0"/>
    <x v="2"/>
    <n v="42"/>
    <n v="1.51"/>
    <n v="0.68"/>
    <x v="0"/>
    <n v="105"/>
    <n v="170"/>
    <n v="102"/>
    <n v="32"/>
    <s v="Moderate"/>
  </r>
  <r>
    <n v="982"/>
    <x v="873"/>
    <x v="947"/>
    <n v="5"/>
    <s v="elective"/>
    <x v="2"/>
    <x v="1"/>
    <n v="64"/>
    <n v="1.85"/>
    <n v="0.85"/>
    <x v="0"/>
    <n v="162"/>
    <n v="178"/>
    <n v="91"/>
    <n v="42"/>
    <s v="Moderate"/>
  </r>
  <r>
    <n v="983"/>
    <x v="874"/>
    <x v="948"/>
    <n v="3"/>
    <s v="elective"/>
    <x v="0"/>
    <x v="10"/>
    <n v="73"/>
    <n v="3.74"/>
    <n v="1.0900000000000001"/>
    <x v="0"/>
    <n v="80"/>
    <n v="160"/>
    <n v="98"/>
    <n v="29"/>
    <s v="Poor"/>
  </r>
  <r>
    <n v="984"/>
    <x v="873"/>
    <x v="949"/>
    <n v="6"/>
    <s v="elective"/>
    <x v="4"/>
    <x v="3"/>
    <n v="73"/>
    <n v="31.97"/>
    <n v="17.489999999999998"/>
    <x v="0"/>
    <n v="120"/>
    <n v="178"/>
    <n v="77"/>
    <n v="50"/>
    <s v="Moderate"/>
  </r>
  <r>
    <n v="985"/>
    <x v="875"/>
    <x v="950"/>
    <n v="4"/>
    <s v="elective"/>
    <x v="0"/>
    <x v="1"/>
    <n v="68"/>
    <n v="4.3600000000000003"/>
    <n v="0.76"/>
    <x v="0"/>
    <n v="79"/>
    <n v="163"/>
    <n v="128"/>
    <n v="62"/>
    <s v="Good"/>
  </r>
  <r>
    <n v="986"/>
    <x v="876"/>
    <x v="951"/>
    <n v="4"/>
    <s v="urgent"/>
    <x v="2"/>
    <x v="15"/>
    <n v="63"/>
    <n v="2.71"/>
    <n v="1.5"/>
    <x v="0"/>
    <n v="90"/>
    <n v="166"/>
    <n v="66"/>
    <n v="58"/>
    <s v="Good"/>
  </r>
  <r>
    <n v="987"/>
    <x v="877"/>
    <x v="952"/>
    <n v="5"/>
    <s v="elective"/>
    <x v="2"/>
    <x v="11"/>
    <n v="82"/>
    <n v="7.35"/>
    <n v="2.12"/>
    <x v="0"/>
    <n v="73"/>
    <n v="154"/>
    <n v="64"/>
    <n v="53"/>
    <s v="Good"/>
  </r>
  <r>
    <n v="988"/>
    <x v="878"/>
    <x v="953"/>
    <n v="6"/>
    <s v="emergency"/>
    <x v="4"/>
    <x v="0"/>
    <n v="53"/>
    <n v="23.24"/>
    <n v="5.66"/>
    <x v="1"/>
    <n v="93"/>
    <n v="180"/>
    <n v="118"/>
    <n v="50"/>
    <s v="Moderate"/>
  </r>
  <r>
    <n v="989"/>
    <x v="879"/>
    <x v="954"/>
    <n v="4"/>
    <s v="elective"/>
    <x v="3"/>
    <x v="15"/>
    <n v="79"/>
    <n v="8.1"/>
    <n v="2.23"/>
    <x v="0"/>
    <n v="66"/>
    <n v="182"/>
    <n v="94"/>
    <n v="60"/>
    <s v="Good"/>
  </r>
  <r>
    <n v="990"/>
    <x v="880"/>
    <x v="955"/>
    <n v="2"/>
    <s v="elective"/>
    <x v="0"/>
    <x v="8"/>
    <n v="83"/>
    <n v="7.03"/>
    <n v="0.96"/>
    <x v="0"/>
    <n v="61"/>
    <n v="167"/>
    <n v="76"/>
    <n v="56"/>
    <s v="Good"/>
  </r>
  <r>
    <n v="991"/>
    <x v="881"/>
    <x v="956"/>
    <n v="6"/>
    <s v="elective"/>
    <x v="2"/>
    <x v="1"/>
    <n v="75"/>
    <n v="2.52"/>
    <n v="0.77"/>
    <x v="0"/>
    <n v="93"/>
    <n v="158"/>
    <n v="77"/>
    <n v="55"/>
    <s v="Good"/>
  </r>
  <r>
    <n v="992"/>
    <x v="882"/>
    <x v="957"/>
    <n v="3"/>
    <s v="urgent"/>
    <x v="0"/>
    <x v="6"/>
    <n v="77"/>
    <n v="4.83"/>
    <n v="3.19"/>
    <x v="0"/>
    <n v="74"/>
    <n v="175"/>
    <n v="98"/>
    <n v="53"/>
    <s v="Good"/>
  </r>
  <r>
    <n v="993"/>
    <x v="883"/>
    <x v="958"/>
    <n v="3"/>
    <s v="elective"/>
    <x v="0"/>
    <x v="6"/>
    <n v="72"/>
    <n v="5.24"/>
    <n v="3.71"/>
    <x v="0"/>
    <n v="128"/>
    <n v="150"/>
    <n v="66"/>
    <n v="20"/>
    <s v="Very Poor"/>
  </r>
  <r>
    <n v="994"/>
    <x v="884"/>
    <x v="959"/>
    <n v="6"/>
    <s v="urgent"/>
    <x v="4"/>
    <x v="1"/>
    <n v="65"/>
    <n v="6.78"/>
    <n v="2.58"/>
    <x v="0"/>
    <n v="78"/>
    <n v="163"/>
    <n v="65"/>
    <n v="53"/>
    <s v="Good"/>
  </r>
  <r>
    <n v="995"/>
    <x v="883"/>
    <x v="960"/>
    <n v="2"/>
    <s v="elective"/>
    <x v="0"/>
    <x v="4"/>
    <n v="61"/>
    <n v="1.72"/>
    <n v="0.52"/>
    <x v="0"/>
    <n v="79"/>
    <n v="165"/>
    <n v="74"/>
    <n v="30"/>
    <s v="Poor"/>
  </r>
  <r>
    <n v="996"/>
    <x v="885"/>
    <x v="961"/>
    <n v="3"/>
    <s v="elective"/>
    <x v="0"/>
    <x v="6"/>
    <n v="79"/>
    <n v="11.66"/>
    <n v="1.93"/>
    <x v="0"/>
    <n v="146"/>
    <n v="161"/>
    <n v="65"/>
    <n v="30"/>
    <s v="Poor"/>
  </r>
  <r>
    <n v="997"/>
    <x v="886"/>
    <x v="962"/>
    <n v="2"/>
    <s v="elective"/>
    <x v="0"/>
    <x v="8"/>
    <n v="35"/>
    <n v="2.08"/>
    <n v="0.69"/>
    <x v="0"/>
    <n v="77"/>
    <n v="188"/>
    <n v="116"/>
    <n v="49"/>
    <s v="Moderate"/>
  </r>
  <r>
    <n v="998"/>
    <x v="887"/>
    <x v="963"/>
    <n v="5"/>
    <s v="urgent"/>
    <x v="2"/>
    <x v="7"/>
    <n v="73"/>
    <n v="7.62"/>
    <n v="2.61"/>
    <x v="0"/>
    <n v="66"/>
    <n v="166"/>
    <n v="81"/>
    <n v="65"/>
    <s v="Good"/>
  </r>
  <r>
    <n v="999"/>
    <x v="888"/>
    <x v="964"/>
    <n v="4"/>
    <s v="elective"/>
    <x v="2"/>
    <x v="15"/>
    <n v="59"/>
    <n v="1.43"/>
    <n v="0.81"/>
    <x v="0"/>
    <n v="107"/>
    <n v="170"/>
    <n v="70"/>
    <n v="68"/>
    <s v="Good"/>
  </r>
  <r>
    <n v="1000"/>
    <x v="889"/>
    <x v="965"/>
    <n v="6"/>
    <s v="elective"/>
    <x v="3"/>
    <x v="16"/>
    <n v="66"/>
    <n v="13.99"/>
    <n v="8.65"/>
    <x v="0"/>
    <n v="68"/>
    <n v="180"/>
    <n v="122"/>
    <n v="45"/>
    <s v="Moderate"/>
  </r>
  <r>
    <n v="1001"/>
    <x v="890"/>
    <x v="966"/>
    <n v="2"/>
    <s v="elective"/>
    <x v="2"/>
    <x v="8"/>
    <n v="66"/>
    <n v="1.4"/>
    <n v="0.89"/>
    <x v="0"/>
    <n v="110"/>
    <n v="175"/>
    <n v="125"/>
    <n v="50"/>
    <s v="Moderate"/>
  </r>
  <r>
    <n v="1002"/>
    <x v="891"/>
    <x v="967"/>
    <n v="5"/>
    <s v="elective"/>
    <x v="0"/>
    <x v="7"/>
    <n v="77"/>
    <n v="7.16"/>
    <n v="1.49"/>
    <x v="0"/>
    <n v="80"/>
    <n v="153"/>
    <n v="65"/>
    <n v="55"/>
    <s v="Good"/>
  </r>
  <r>
    <n v="1003"/>
    <x v="892"/>
    <x v="968"/>
    <n v="4"/>
    <s v="urgent"/>
    <x v="0"/>
    <x v="15"/>
    <n v="68"/>
    <n v="5.09"/>
    <n v="1.96"/>
    <x v="0"/>
    <n v="87"/>
    <n v="165"/>
    <n v="70"/>
    <n v="45"/>
    <s v="Moderate"/>
  </r>
  <r>
    <n v="1004"/>
    <x v="893"/>
    <x v="969"/>
    <n v="6"/>
    <s v="urgent"/>
    <x v="3"/>
    <x v="16"/>
    <n v="74"/>
    <n v="9.83"/>
    <n v="2.77"/>
    <x v="0"/>
    <n v="133"/>
    <n v="172"/>
    <n v="101"/>
    <n v="36"/>
    <s v="Moderate"/>
  </r>
  <r>
    <n v="1005"/>
    <x v="894"/>
    <x v="970"/>
    <n v="5"/>
    <s v="elective"/>
    <x v="2"/>
    <x v="4"/>
    <n v="64"/>
    <n v="1.23"/>
    <n v="0.56000000000000005"/>
    <x v="0"/>
    <n v="71"/>
    <n v="173"/>
    <n v="64"/>
    <n v="57"/>
    <s v="Good"/>
  </r>
  <r>
    <n v="1006"/>
    <x v="895"/>
    <x v="971"/>
    <n v="4"/>
    <s v="elective"/>
    <x v="2"/>
    <x v="3"/>
    <n v="76"/>
    <n v="2.69"/>
    <n v="1.07"/>
    <x v="0"/>
    <n v="126"/>
    <n v="160"/>
    <n v="55"/>
    <n v="55"/>
    <s v="Good"/>
  </r>
  <r>
    <n v="1007"/>
    <x v="896"/>
    <x v="972"/>
    <n v="5"/>
    <s v="elective"/>
    <x v="3"/>
    <x v="4"/>
    <n v="78"/>
    <n v="8.15"/>
    <n v="3.27"/>
    <x v="0"/>
    <n v="92"/>
    <n v="167"/>
    <n v="109"/>
    <n v="45"/>
    <s v="Moderate"/>
  </r>
  <r>
    <n v="1008"/>
    <x v="897"/>
    <x v="973"/>
    <n v="4"/>
    <s v="elective"/>
    <x v="2"/>
    <x v="3"/>
    <n v="63"/>
    <n v="1.73"/>
    <n v="1"/>
    <x v="0"/>
    <n v="119"/>
    <n v="170"/>
    <n v="81"/>
    <n v="65"/>
    <s v="Good"/>
  </r>
  <r>
    <n v="1009"/>
    <x v="878"/>
    <x v="974"/>
    <n v="4"/>
    <s v="emergency"/>
    <x v="1"/>
    <x v="0"/>
    <n v="53"/>
    <n v="11.86"/>
    <n v="1.73"/>
    <x v="1"/>
    <n v="116"/>
    <n v="161"/>
    <n v="92"/>
    <n v="35"/>
    <s v="Moderate"/>
  </r>
  <r>
    <n v="1010"/>
    <x v="898"/>
    <x v="975"/>
    <n v="4"/>
    <s v="elective"/>
    <x v="2"/>
    <x v="6"/>
    <n v="49"/>
    <n v="4.3899999999999997"/>
    <n v="3.01"/>
    <x v="0"/>
    <n v="84"/>
    <n v="172"/>
    <n v="76"/>
    <n v="65"/>
    <s v="Good"/>
  </r>
  <r>
    <n v="1011"/>
    <x v="899"/>
    <x v="976"/>
    <n v="3"/>
    <s v="elective"/>
    <x v="2"/>
    <x v="0"/>
    <n v="72"/>
    <n v="4.28"/>
    <n v="1.79"/>
    <x v="0"/>
    <n v="72"/>
    <n v="175"/>
    <n v="97"/>
    <n v="42"/>
    <s v="Moderate"/>
  </r>
  <r>
    <n v="1012"/>
    <x v="899"/>
    <x v="977"/>
    <n v="2"/>
    <s v="elective"/>
    <x v="0"/>
    <x v="8"/>
    <n v="77"/>
    <n v="6.59"/>
    <n v="1.73"/>
    <x v="0"/>
    <n v="65"/>
    <n v="171"/>
    <n v="76"/>
    <n v="53"/>
    <s v="Good"/>
  </r>
  <r>
    <n v="1013"/>
    <x v="900"/>
    <x v="977"/>
    <n v="6"/>
    <s v="elective"/>
    <x v="4"/>
    <x v="1"/>
    <n v="57"/>
    <n v="7.39"/>
    <n v="2.64"/>
    <x v="0"/>
    <n v="79"/>
    <n v="60"/>
    <n v="180"/>
    <n v="55"/>
    <s v="Good"/>
  </r>
  <r>
    <n v="1014"/>
    <x v="899"/>
    <x v="978"/>
    <n v="5"/>
    <s v="elective"/>
    <x v="0"/>
    <x v="3"/>
    <n v="82"/>
    <n v="6.61"/>
    <n v="1.4"/>
    <x v="0"/>
    <n v="147"/>
    <n v="179"/>
    <n v="77"/>
    <n v="65"/>
    <s v="Good"/>
  </r>
  <r>
    <n v="1015"/>
    <x v="901"/>
    <x v="979"/>
    <n v="4"/>
    <s v="elective"/>
    <x v="0"/>
    <x v="6"/>
    <n v="70"/>
    <n v="3.08"/>
    <n v="1.27"/>
    <x v="0"/>
    <n v="84"/>
    <n v="160"/>
    <n v="54"/>
    <n v="55"/>
    <s v="Good"/>
  </r>
  <r>
    <n v="1016"/>
    <x v="902"/>
    <x v="980"/>
    <n v="3"/>
    <s v="elective"/>
    <x v="3"/>
    <x v="0"/>
    <n v="84"/>
    <n v="7.48"/>
    <n v="4.29"/>
    <x v="0"/>
    <n v="196"/>
    <n v="169"/>
    <n v="68"/>
    <n v="66"/>
    <s v="Good"/>
  </r>
  <r>
    <n v="1017"/>
    <x v="903"/>
    <x v="981"/>
    <n v="2"/>
    <s v="urgent"/>
    <x v="2"/>
    <x v="15"/>
    <n v="71"/>
    <n v="3.3"/>
    <n v="3.17"/>
    <x v="0"/>
    <n v="86"/>
    <n v="164"/>
    <n v="57"/>
    <n v="48"/>
    <s v="Moderate"/>
  </r>
  <r>
    <n v="1018"/>
    <x v="904"/>
    <x v="982"/>
    <n v="6"/>
    <s v="elective"/>
    <x v="2"/>
    <x v="1"/>
    <n v="81"/>
    <n v="8.07"/>
    <n v="2.04"/>
    <x v="0"/>
    <n v="94"/>
    <n v="176"/>
    <n v="94"/>
    <n v="51"/>
    <s v="Good"/>
  </r>
  <r>
    <n v="1019"/>
    <x v="905"/>
    <x v="983"/>
    <n v="5"/>
    <s v="elective"/>
    <x v="2"/>
    <x v="3"/>
    <n v="63"/>
    <n v="3.79"/>
    <n v="1.25"/>
    <x v="0"/>
    <n v="68"/>
    <n v="158"/>
    <n v="60"/>
    <n v="35"/>
    <s v="Moderate"/>
  </r>
  <r>
    <n v="1020"/>
    <x v="906"/>
    <x v="984"/>
    <n v="4"/>
    <s v="urgent"/>
    <x v="0"/>
    <x v="8"/>
    <n v="83"/>
    <n v="9.52"/>
    <n v="5.01"/>
    <x v="0"/>
    <n v="72"/>
    <n v="162"/>
    <n v="53"/>
    <n v="65"/>
    <s v="Good"/>
  </r>
  <r>
    <n v="1021"/>
    <x v="907"/>
    <x v="985"/>
    <n v="5"/>
    <s v="urgent"/>
    <x v="2"/>
    <x v="4"/>
    <n v="76"/>
    <n v="12.48"/>
    <n v="3.72"/>
    <x v="0"/>
    <n v="83"/>
    <n v="180"/>
    <n v="113"/>
    <n v="15"/>
    <s v="Very Poor"/>
  </r>
  <r>
    <n v="1022"/>
    <x v="908"/>
    <x v="985"/>
    <n v="6"/>
    <s v="elective"/>
    <x v="4"/>
    <x v="3"/>
    <n v="73"/>
    <n v="11.02"/>
    <n v="3.56"/>
    <x v="0"/>
    <n v="82"/>
    <n v="172"/>
    <n v="81"/>
    <n v="35"/>
    <s v="Moderate"/>
  </r>
  <r>
    <n v="1023"/>
    <x v="909"/>
    <x v="986"/>
    <n v="2"/>
    <s v="elective"/>
    <x v="0"/>
    <x v="2"/>
    <n v="63"/>
    <n v="2.7"/>
    <n v="1.02"/>
    <x v="0"/>
    <n v="134"/>
    <n v="178"/>
    <n v="85"/>
    <n v="61"/>
    <s v="Good"/>
  </r>
  <r>
    <n v="1024"/>
    <x v="910"/>
    <x v="987"/>
    <n v="5"/>
    <s v="elective"/>
    <x v="2"/>
    <x v="4"/>
    <n v="63"/>
    <n v="2.0099999999999998"/>
    <n v="0.61"/>
    <x v="0"/>
    <n v="92"/>
    <n v="154"/>
    <n v="63"/>
    <n v="52"/>
    <s v="Good"/>
  </r>
  <r>
    <n v="1025"/>
    <x v="911"/>
    <x v="988"/>
    <n v="6"/>
    <s v="elective"/>
    <x v="0"/>
    <x v="3"/>
    <n v="67"/>
    <n v="2.54"/>
    <n v="0.61"/>
    <x v="0"/>
    <n v="75"/>
    <n v="172"/>
    <n v="86"/>
    <n v="41"/>
    <s v="Moderate"/>
  </r>
  <r>
    <n v="1026"/>
    <x v="912"/>
    <x v="989"/>
    <n v="5"/>
    <s v="emergency"/>
    <x v="0"/>
    <x v="0"/>
    <n v="65"/>
    <n v="50.83"/>
    <n v="27.67"/>
    <x v="2"/>
    <n v="87"/>
    <n v="158"/>
    <n v="77"/>
    <n v="52"/>
    <s v="Good"/>
  </r>
  <r>
    <n v="1027"/>
    <x v="892"/>
    <x v="990"/>
    <n v="4"/>
    <s v="urgent"/>
    <x v="2"/>
    <x v="15"/>
    <n v="73"/>
    <n v="10.26"/>
    <n v="4.47"/>
    <x v="0"/>
    <n v="91"/>
    <n v="182"/>
    <n v="78"/>
    <n v="44"/>
    <s v="Moderate"/>
  </r>
  <r>
    <n v="1028"/>
    <x v="913"/>
    <x v="991"/>
    <n v="5"/>
    <s v="urgent"/>
    <x v="2"/>
    <x v="11"/>
    <n v="74"/>
    <n v="4"/>
    <n v="1.32"/>
    <x v="0"/>
    <n v="64"/>
    <n v="175"/>
    <n v="91"/>
    <n v="60"/>
    <s v="Good"/>
  </r>
  <r>
    <n v="1029"/>
    <x v="914"/>
    <x v="991"/>
    <n v="2"/>
    <s v="urgent"/>
    <x v="0"/>
    <x v="2"/>
    <n v="61"/>
    <n v="3.83"/>
    <n v="6.59"/>
    <x v="0"/>
    <n v="95"/>
    <n v="162"/>
    <n v="116"/>
    <n v="54"/>
    <s v="Good"/>
  </r>
  <r>
    <n v="1030"/>
    <x v="915"/>
    <x v="992"/>
    <n v="5"/>
    <s v="elective"/>
    <x v="2"/>
    <x v="11"/>
    <n v="66"/>
    <n v="1.4"/>
    <n v="0.66"/>
    <x v="0"/>
    <n v="63"/>
    <n v="186"/>
    <n v="125"/>
    <n v="70"/>
    <s v="Good"/>
  </r>
  <r>
    <n v="1031"/>
    <x v="916"/>
    <x v="993"/>
    <n v="2"/>
    <s v="elective"/>
    <x v="0"/>
    <x v="2"/>
    <n v="72"/>
    <n v="8.3000000000000007"/>
    <n v="1.29"/>
    <x v="0"/>
    <n v="113"/>
    <n v="160"/>
    <n v="78"/>
    <n v="35"/>
    <s v="Moderate"/>
  </r>
  <r>
    <n v="1032"/>
    <x v="917"/>
    <x v="994"/>
    <n v="4"/>
    <s v="elective"/>
    <x v="3"/>
    <x v="15"/>
    <n v="66"/>
    <n v="4.4800000000000004"/>
    <n v="2.3199999999999998"/>
    <x v="0"/>
    <n v="92"/>
    <n v="170"/>
    <n v="105"/>
    <n v="61"/>
    <s v="Good"/>
  </r>
  <r>
    <n v="1033"/>
    <x v="918"/>
    <x v="995"/>
    <n v="2"/>
    <s v="elective"/>
    <x v="0"/>
    <x v="8"/>
    <n v="60"/>
    <n v="2.42"/>
    <n v="0.92"/>
    <x v="0"/>
    <n v="135"/>
    <n v="170"/>
    <n v="71"/>
    <n v="25"/>
    <s v="Poor"/>
  </r>
  <r>
    <n v="1034"/>
    <x v="919"/>
    <x v="996"/>
    <n v="4"/>
    <s v="urgent"/>
    <x v="3"/>
    <x v="0"/>
    <n v="66"/>
    <n v="33.74"/>
    <n v="19.48"/>
    <x v="0"/>
    <n v="92"/>
    <n v="180"/>
    <n v="105"/>
    <n v="60"/>
    <s v="Good"/>
  </r>
  <r>
    <n v="1035"/>
    <x v="920"/>
    <x v="997"/>
    <n v="5"/>
    <s v="urgent"/>
    <x v="2"/>
    <x v="7"/>
    <n v="84"/>
    <n v="29.82"/>
    <n v="10.88"/>
    <x v="0"/>
    <n v="72"/>
    <n v="163"/>
    <n v="69"/>
    <n v="66"/>
    <s v="Good"/>
  </r>
  <r>
    <n v="1036"/>
    <x v="921"/>
    <x v="998"/>
    <n v="6"/>
    <s v="elective"/>
    <x v="0"/>
    <x v="1"/>
    <n v="75"/>
    <n v="4.25"/>
    <n v="1.39"/>
    <x v="0"/>
    <n v="74"/>
    <n v="173"/>
    <n v="104"/>
    <n v="50"/>
    <s v="Moderate"/>
  </r>
  <r>
    <n v="1037"/>
    <x v="922"/>
    <x v="999"/>
    <n v="2"/>
    <s v="urgent"/>
    <x v="3"/>
    <x v="16"/>
    <n v="78"/>
    <n v="5.14"/>
    <n v="2.92"/>
    <x v="0"/>
    <n v="88"/>
    <n v="174"/>
    <n v="68"/>
    <n v="69"/>
    <s v="Good"/>
  </r>
  <r>
    <n v="1038"/>
    <x v="923"/>
    <x v="1000"/>
    <n v="6"/>
    <s v="elective"/>
    <x v="0"/>
    <x v="1"/>
    <n v="73"/>
    <n v="3.74"/>
    <n v="2.52"/>
    <x v="0"/>
    <n v="70"/>
    <n v="161"/>
    <n v="76"/>
    <n v="42"/>
    <s v="Moderate"/>
  </r>
  <r>
    <n v="1039"/>
    <x v="924"/>
    <x v="1001"/>
    <n v="5"/>
    <s v="elective"/>
    <x v="0"/>
    <x v="7"/>
    <n v="44"/>
    <n v="1.33"/>
    <n v="0.76"/>
    <x v="0"/>
    <n v="73"/>
    <n v="174"/>
    <n v="81"/>
    <n v="55"/>
    <s v="Good"/>
  </r>
  <r>
    <n v="1040"/>
    <x v="925"/>
    <x v="1002"/>
    <n v="2"/>
    <s v="urgent"/>
    <x v="2"/>
    <x v="11"/>
    <n v="79"/>
    <n v="8.6999999999999993"/>
    <n v="2.46"/>
    <x v="0"/>
    <n v="129"/>
    <n v="161"/>
    <n v="58"/>
    <n v="60"/>
    <s v="Good"/>
  </r>
  <r>
    <n v="1041"/>
    <x v="926"/>
    <x v="1003"/>
    <n v="4"/>
    <s v="elective"/>
    <x v="2"/>
    <x v="15"/>
    <n v="72"/>
    <n v="2.0699999999999998"/>
    <n v="0.78"/>
    <x v="0"/>
    <n v="67"/>
    <n v="154"/>
    <n v="77"/>
    <n v="20"/>
    <s v="Very Poor"/>
  </r>
  <r>
    <n v="1042"/>
    <x v="927"/>
    <x v="1004"/>
    <n v="5"/>
    <s v="elective"/>
    <x v="3"/>
    <x v="7"/>
    <n v="75"/>
    <n v="16.02"/>
    <n v="10.4"/>
    <x v="0"/>
    <n v="95"/>
    <n v="162"/>
    <n v="126"/>
    <n v="45"/>
    <s v="Moderate"/>
  </r>
  <r>
    <n v="1043"/>
    <x v="928"/>
    <x v="1005"/>
    <n v="6"/>
    <s v="urgent"/>
    <x v="2"/>
    <x v="16"/>
    <n v="72"/>
    <n v="3.52"/>
    <n v="1.1200000000000001"/>
    <x v="0"/>
    <n v="146"/>
    <n v="181"/>
    <n v="88"/>
    <n v="50"/>
    <s v="Moderate"/>
  </r>
  <r>
    <n v="1044"/>
    <x v="929"/>
    <x v="1006"/>
    <n v="2"/>
    <s v="elective"/>
    <x v="2"/>
    <x v="11"/>
    <n v="75"/>
    <n v="3.47"/>
    <n v="1.28"/>
    <x v="0"/>
    <n v="74"/>
    <n v="164"/>
    <n v="66"/>
    <n v="40"/>
    <s v="Moderate"/>
  </r>
  <r>
    <n v="1045"/>
    <x v="930"/>
    <x v="1007"/>
    <n v="4"/>
    <s v="elective"/>
    <x v="2"/>
    <x v="15"/>
    <n v="73"/>
    <n v="3.32"/>
    <n v="6.08"/>
    <x v="0"/>
    <n v="84"/>
    <n v="184"/>
    <n v="90"/>
    <n v="55"/>
    <s v="Good"/>
  </r>
  <r>
    <n v="1046"/>
    <x v="931"/>
    <x v="1008"/>
    <n v="6"/>
    <s v="elective"/>
    <x v="3"/>
    <x v="0"/>
    <n v="73"/>
    <n v="3.74"/>
    <n v="1.67"/>
    <x v="0"/>
    <n v="108"/>
    <n v="154"/>
    <n v="85"/>
    <n v="60"/>
    <s v="Good"/>
  </r>
  <r>
    <n v="1047"/>
    <x v="932"/>
    <x v="1009"/>
    <n v="5"/>
    <s v="elective"/>
    <x v="0"/>
    <x v="1"/>
    <n v="72"/>
    <n v="4.8099999999999996"/>
    <n v="0.88"/>
    <x v="0"/>
    <n v="105"/>
    <n v="175"/>
    <n v="94"/>
    <n v="50"/>
    <s v="Moderate"/>
  </r>
  <r>
    <n v="1048"/>
    <x v="933"/>
    <x v="1009"/>
    <n v="4"/>
    <s v="elective"/>
    <x v="0"/>
    <x v="0"/>
    <n v="74"/>
    <n v="5.46"/>
    <n v="1.25"/>
    <x v="0"/>
    <n v="77"/>
    <n v="169"/>
    <n v="59"/>
    <n v="28"/>
    <s v="Poor"/>
  </r>
  <r>
    <n v="1049"/>
    <x v="934"/>
    <x v="1010"/>
    <n v="4"/>
    <s v="elective"/>
    <x v="2"/>
    <x v="0"/>
    <n v="83"/>
    <n v="6.27"/>
    <n v="4.3099999999999996"/>
    <x v="0"/>
    <n v="93"/>
    <n v="164"/>
    <n v="70"/>
    <n v="11"/>
    <s v="Very Poor"/>
  </r>
  <r>
    <n v="1050"/>
    <x v="935"/>
    <x v="1011"/>
    <n v="5"/>
    <s v="elective"/>
    <x v="2"/>
    <x v="1"/>
    <n v="62"/>
    <n v="2.0499999999999998"/>
    <n v="1.43"/>
    <x v="0"/>
    <n v="79"/>
    <n v="181"/>
    <n v="85"/>
    <n v="40"/>
    <s v="Moderate"/>
  </r>
  <r>
    <n v="1051"/>
    <x v="936"/>
    <x v="1012"/>
    <n v="2"/>
    <s v="emergency"/>
    <x v="4"/>
    <x v="1"/>
    <n v="78"/>
    <n v="32.92"/>
    <n v="9.67"/>
    <x v="1"/>
    <n v="87"/>
    <n v="165"/>
    <n v="80"/>
    <n v="58"/>
    <s v="Good"/>
  </r>
  <r>
    <n v="1052"/>
    <x v="937"/>
    <x v="1013"/>
    <n v="4"/>
    <s v="elective"/>
    <x v="0"/>
    <x v="3"/>
    <n v="78"/>
    <n v="12.87"/>
    <n v="3.35"/>
    <x v="0"/>
    <n v="76"/>
    <n v="155"/>
    <n v="62"/>
    <n v="42"/>
    <s v="Moderate"/>
  </r>
  <r>
    <n v="1053"/>
    <x v="938"/>
    <x v="1014"/>
    <n v="5"/>
    <s v="elective"/>
    <x v="0"/>
    <x v="11"/>
    <n v="65"/>
    <n v="4.21"/>
    <n v="1.32"/>
    <x v="0"/>
    <n v="122"/>
    <n v="181"/>
    <n v="106"/>
    <n v="62"/>
    <s v="Good"/>
  </r>
  <r>
    <n v="1054"/>
    <x v="939"/>
    <x v="1015"/>
    <n v="6"/>
    <s v="urgent"/>
    <x v="2"/>
    <x v="15"/>
    <n v="83"/>
    <n v="51.96"/>
    <n v="50.06"/>
    <x v="0"/>
    <n v="79"/>
    <n v="173"/>
    <n v="66"/>
    <n v="66"/>
    <s v="Good"/>
  </r>
  <r>
    <n v="1055"/>
    <x v="940"/>
    <x v="1016"/>
    <n v="2"/>
    <s v="emergency"/>
    <x v="4"/>
    <x v="11"/>
    <n v="51"/>
    <n v="9.0399999999999991"/>
    <n v="4.05"/>
    <x v="0"/>
    <n v="89"/>
    <n v="177"/>
    <n v="120"/>
    <n v="55"/>
    <s v="Good"/>
  </r>
  <r>
    <n v="1056"/>
    <x v="941"/>
    <x v="1017"/>
    <n v="4"/>
    <s v="elective"/>
    <x v="0"/>
    <x v="3"/>
    <n v="37"/>
    <n v="2.27"/>
    <n v="0.76"/>
    <x v="0"/>
    <n v="87"/>
    <n v="162"/>
    <n v="70"/>
    <n v="45"/>
    <s v="Moderate"/>
  </r>
  <r>
    <n v="1057"/>
    <x v="942"/>
    <x v="1018"/>
    <n v="5"/>
    <s v="elective"/>
    <x v="0"/>
    <x v="4"/>
    <n v="70"/>
    <n v="3.08"/>
    <n v="2.31"/>
    <x v="0"/>
    <n v="61"/>
    <n v="167"/>
    <n v="75"/>
    <n v="50"/>
    <s v="Moderate"/>
  </r>
  <r>
    <n v="1058"/>
    <x v="943"/>
    <x v="1019"/>
    <n v="4"/>
    <s v="urgent"/>
    <x v="3"/>
    <x v="8"/>
    <n v="61"/>
    <n v="1.72"/>
    <n v="1.22"/>
    <x v="0"/>
    <n v="73"/>
    <n v="172"/>
    <n v="87"/>
    <n v="25"/>
    <s v="Poor"/>
  </r>
  <r>
    <n v="1059"/>
    <x v="944"/>
    <x v="1020"/>
    <n v="2"/>
    <s v="elective"/>
    <x v="0"/>
    <x v="2"/>
    <n v="75"/>
    <n v="12.28"/>
    <n v="4.46"/>
    <x v="0"/>
    <n v="140"/>
    <n v="161"/>
    <n v="102"/>
    <n v="45"/>
    <s v="Moderate"/>
  </r>
  <r>
    <n v="1060"/>
    <x v="945"/>
    <x v="1020"/>
    <n v="6"/>
    <s v="urgent"/>
    <x v="3"/>
    <x v="3"/>
    <n v="58"/>
    <n v="2.08"/>
    <n v="2.46"/>
    <x v="0"/>
    <n v="78"/>
    <n v="155"/>
    <n v="84"/>
    <n v="61"/>
    <s v="Good"/>
  </r>
  <r>
    <n v="1061"/>
    <x v="941"/>
    <x v="1021"/>
    <n v="5"/>
    <s v="elective"/>
    <x v="3"/>
    <x v="4"/>
    <n v="66"/>
    <n v="2.38"/>
    <n v="2.0699999999999998"/>
    <x v="0"/>
    <n v="67"/>
    <n v="172"/>
    <n v="123"/>
    <n v="43"/>
    <s v="Moderate"/>
  </r>
  <r>
    <n v="1062"/>
    <x v="946"/>
    <x v="1022"/>
    <n v="2"/>
    <s v="elective"/>
    <x v="4"/>
    <x v="2"/>
    <n v="69"/>
    <n v="16.73"/>
    <n v="7.02"/>
    <x v="0"/>
    <n v="73"/>
    <n v="165"/>
    <n v="68"/>
    <n v="55"/>
    <s v="Good"/>
  </r>
  <r>
    <n v="1063"/>
    <x v="947"/>
    <x v="1023"/>
    <n v="4"/>
    <s v="elective"/>
    <x v="0"/>
    <x v="8"/>
    <n v="51"/>
    <n v="1.51"/>
    <n v="0.67"/>
    <x v="0"/>
    <n v="61"/>
    <n v="170"/>
    <n v="101"/>
    <n v="66"/>
    <s v="Good"/>
  </r>
  <r>
    <n v="1064"/>
    <x v="948"/>
    <x v="1024"/>
    <n v="5"/>
    <s v="urgent"/>
    <x v="2"/>
    <x v="11"/>
    <n v="71"/>
    <n v="4.54"/>
    <n v="1.82"/>
    <x v="0"/>
    <n v="66"/>
    <n v="169"/>
    <n v="82"/>
    <n v="55"/>
    <s v="Good"/>
  </r>
  <r>
    <n v="1065"/>
    <x v="949"/>
    <x v="1024"/>
    <n v="4"/>
    <s v="urgent"/>
    <x v="3"/>
    <x v="15"/>
    <n v="75"/>
    <n v="10.44"/>
    <n v="3.79"/>
    <x v="0"/>
    <n v="103"/>
    <n v="174"/>
    <n v="74"/>
    <n v="52"/>
    <s v="Good"/>
  </r>
  <r>
    <n v="1066"/>
    <x v="950"/>
    <x v="1025"/>
    <n v="2"/>
    <s v="emergency"/>
    <x v="2"/>
    <x v="2"/>
    <n v="74"/>
    <n v="38.6"/>
    <n v="12.83"/>
    <x v="0"/>
    <n v="110"/>
    <n v="172"/>
    <n v="127"/>
    <n v="58"/>
    <s v="Good"/>
  </r>
  <r>
    <n v="1067"/>
    <x v="951"/>
    <x v="1026"/>
    <n v="6"/>
    <s v="urgent"/>
    <x v="2"/>
    <x v="0"/>
    <n v="74"/>
    <n v="6.69"/>
    <n v="4.08"/>
    <x v="0"/>
    <n v="86"/>
    <n v="180"/>
    <n v="100"/>
    <n v="60"/>
    <s v="Good"/>
  </r>
  <r>
    <n v="1068"/>
    <x v="952"/>
    <x v="1027"/>
    <n v="1"/>
    <s v="emergency"/>
    <x v="2"/>
    <x v="7"/>
    <n v="72"/>
    <n v="33.07"/>
    <n v="10.5"/>
    <x v="1"/>
    <n v="121"/>
    <n v="170"/>
    <n v="68"/>
    <n v="58"/>
    <s v="Good"/>
  </r>
  <r>
    <n v="1069"/>
    <x v="953"/>
    <x v="1028"/>
    <n v="5"/>
    <s v="elective"/>
    <x v="2"/>
    <x v="11"/>
    <n v="56"/>
    <n v="1.33"/>
    <n v="0.76"/>
    <x v="0"/>
    <n v="78"/>
    <n v="166"/>
    <n v="97"/>
    <n v="45"/>
    <s v="Moderate"/>
  </r>
  <r>
    <n v="1070"/>
    <x v="954"/>
    <x v="1029"/>
    <n v="4"/>
    <s v="elective"/>
    <x v="2"/>
    <x v="15"/>
    <n v="71"/>
    <n v="1.94"/>
    <n v="1.03"/>
    <x v="0"/>
    <n v="90"/>
    <n v="174"/>
    <n v="73"/>
    <n v="60"/>
    <s v="Good"/>
  </r>
  <r>
    <n v="1071"/>
    <x v="955"/>
    <x v="1030"/>
    <n v="3"/>
    <s v="urgent"/>
    <x v="0"/>
    <x v="6"/>
    <n v="74"/>
    <n v="16.559999999999999"/>
    <n v="6.02"/>
    <x v="0"/>
    <n v="132"/>
    <n v="168"/>
    <n v="109"/>
    <n v="60"/>
    <s v="Good"/>
  </r>
  <r>
    <n v="1072"/>
    <x v="956"/>
    <x v="1031"/>
    <n v="6"/>
    <s v="elective"/>
    <x v="4"/>
    <x v="1"/>
    <n v="71"/>
    <n v="31.01"/>
    <n v="8.76"/>
    <x v="0"/>
    <n v="93"/>
    <n v="163"/>
    <n v="73"/>
    <n v="45"/>
    <s v="Moderate"/>
  </r>
  <r>
    <n v="1073"/>
    <x v="957"/>
    <x v="1032"/>
    <n v="2"/>
    <s v="urgent"/>
    <x v="2"/>
    <x v="11"/>
    <n v="74"/>
    <n v="4"/>
    <n v="1.32"/>
    <x v="0"/>
    <n v="90"/>
    <n v="186"/>
    <n v="100"/>
    <n v="29"/>
    <s v="Poor"/>
  </r>
  <r>
    <n v="1074"/>
    <x v="958"/>
    <x v="1032"/>
    <n v="4"/>
    <s v="elective"/>
    <x v="3"/>
    <x v="10"/>
    <n v="80"/>
    <n v="7.94"/>
    <n v="1.88"/>
    <x v="0"/>
    <n v="118"/>
    <n v="180"/>
    <n v="74"/>
    <n v="34"/>
    <s v="Moderate"/>
  </r>
  <r>
    <n v="1075"/>
    <x v="959"/>
    <x v="1033"/>
    <n v="5"/>
    <s v="elective"/>
    <x v="2"/>
    <x v="7"/>
    <n v="69"/>
    <n v="2.35"/>
    <n v="1.45"/>
    <x v="0"/>
    <n v="70"/>
    <n v="180"/>
    <n v="100"/>
    <n v="55"/>
    <s v="Good"/>
  </r>
  <r>
    <n v="1076"/>
    <x v="960"/>
    <x v="1034"/>
    <n v="2"/>
    <s v="elective"/>
    <x v="0"/>
    <x v="10"/>
    <n v="76"/>
    <n v="6.19"/>
    <n v="0.98"/>
    <x v="0"/>
    <n v="61"/>
    <n v="151"/>
    <n v="68"/>
    <n v="40"/>
    <s v="Moderate"/>
  </r>
  <r>
    <n v="1077"/>
    <x v="961"/>
    <x v="1035"/>
    <n v="5"/>
    <s v="urgent"/>
    <x v="2"/>
    <x v="11"/>
    <n v="84"/>
    <n v="17.88"/>
    <n v="2.86"/>
    <x v="0"/>
    <n v="154"/>
    <n v="188"/>
    <n v="100"/>
    <n v="28"/>
    <s v="Poor"/>
  </r>
  <r>
    <n v="1078"/>
    <x v="962"/>
    <x v="1036"/>
    <n v="2"/>
    <s v="elective"/>
    <x v="0"/>
    <x v="8"/>
    <n v="82"/>
    <n v="24"/>
    <n v="9.9700000000000006"/>
    <x v="0"/>
    <n v="65"/>
    <n v="178"/>
    <n v="75"/>
    <n v="45"/>
    <s v="Moderate"/>
  </r>
  <r>
    <n v="1079"/>
    <x v="963"/>
    <x v="1036"/>
    <n v="4"/>
    <s v="elective"/>
    <x v="0"/>
    <x v="15"/>
    <n v="54"/>
    <n v="1.51"/>
    <n v="1.64"/>
    <x v="0"/>
    <n v="115"/>
    <n v="173"/>
    <n v="118"/>
    <n v="60"/>
    <s v="Good"/>
  </r>
  <r>
    <n v="1080"/>
    <x v="964"/>
    <x v="1036"/>
    <n v="6"/>
    <s v="urgent"/>
    <x v="2"/>
    <x v="16"/>
    <n v="83"/>
    <n v="9.56"/>
    <n v="4.84"/>
    <x v="0"/>
    <n v="92"/>
    <n v="163"/>
    <n v="79"/>
    <n v="52"/>
    <s v="Good"/>
  </r>
  <r>
    <n v="1081"/>
    <x v="965"/>
    <x v="1037"/>
    <n v="5"/>
    <s v="emergency"/>
    <x v="0"/>
    <x v="11"/>
    <n v="66"/>
    <n v="52.49"/>
    <n v="56.65"/>
    <x v="0"/>
    <n v="94"/>
    <n v="172"/>
    <n v="92"/>
    <n v="61"/>
    <s v="Good"/>
  </r>
  <r>
    <n v="1082"/>
    <x v="966"/>
    <x v="1038"/>
    <n v="4"/>
    <s v="elective"/>
    <x v="2"/>
    <x v="16"/>
    <n v="77"/>
    <n v="2.87"/>
    <n v="1.1000000000000001"/>
    <x v="0"/>
    <n v="91"/>
    <n v="183"/>
    <n v="119"/>
    <n v="66"/>
    <s v="Good"/>
  </r>
  <r>
    <n v="1083"/>
    <x v="967"/>
    <x v="1039"/>
    <n v="2"/>
    <s v="emergency"/>
    <x v="2"/>
    <x v="15"/>
    <n v="69"/>
    <n v="27.02"/>
    <n v="13.62"/>
    <x v="0"/>
    <n v="71"/>
    <n v="165"/>
    <n v="77"/>
    <n v="61"/>
    <s v="Good"/>
  </r>
  <r>
    <n v="1084"/>
    <x v="968"/>
    <x v="1040"/>
    <n v="4"/>
    <s v="elective"/>
    <x v="0"/>
    <x v="0"/>
    <n v="48"/>
    <n v="2.27"/>
    <n v="1.58"/>
    <x v="0"/>
    <n v="70"/>
    <n v="178"/>
    <n v="150"/>
    <n v="25"/>
    <s v="Poor"/>
  </r>
  <r>
    <n v="1085"/>
    <x v="969"/>
    <x v="1041"/>
    <n v="5"/>
    <s v="emergency"/>
    <x v="4"/>
    <x v="11"/>
    <n v="33"/>
    <n v="9.0399999999999991"/>
    <n v="3.27"/>
    <x v="0"/>
    <n v="84"/>
    <n v="172"/>
    <n v="68"/>
    <n v="55"/>
    <s v="Good"/>
  </r>
  <r>
    <n v="1086"/>
    <x v="970"/>
    <x v="1042"/>
    <n v="2"/>
    <s v="urgent"/>
    <x v="0"/>
    <x v="8"/>
    <n v="75"/>
    <n v="5.82"/>
    <n v="1.76"/>
    <x v="0"/>
    <n v="100"/>
    <n v="185"/>
    <n v="107"/>
    <n v="43"/>
    <s v="Moderate"/>
  </r>
  <r>
    <n v="1087"/>
    <x v="971"/>
    <x v="1043"/>
    <n v="6"/>
    <s v="urgent"/>
    <x v="2"/>
    <x v="15"/>
    <n v="74"/>
    <n v="4"/>
    <n v="1.98"/>
    <x v="0"/>
    <n v="62"/>
    <n v="157"/>
    <n v="80"/>
    <n v="40"/>
    <s v="Moderate"/>
  </r>
  <r>
    <n v="1088"/>
    <x v="972"/>
    <x v="1044"/>
    <n v="5"/>
    <s v="elective"/>
    <x v="3"/>
    <x v="3"/>
    <n v="40"/>
    <n v="5.48"/>
    <n v="4.2699999999999996"/>
    <x v="0"/>
    <n v="159"/>
    <n v="150"/>
    <n v="111"/>
    <n v="55"/>
    <s v="Good"/>
  </r>
  <r>
    <n v="1089"/>
    <x v="973"/>
    <x v="1045"/>
    <n v="3"/>
    <s v="elective"/>
    <x v="2"/>
    <x v="0"/>
    <n v="73"/>
    <n v="2.21"/>
    <n v="0.73"/>
    <x v="0"/>
    <n v="74"/>
    <n v="149"/>
    <n v="48"/>
    <n v="55"/>
    <s v="Good"/>
  </r>
  <r>
    <n v="1090"/>
    <x v="974"/>
    <x v="1046"/>
    <n v="4"/>
    <s v="urgent"/>
    <x v="2"/>
    <x v="11"/>
    <n v="70"/>
    <n v="4.97"/>
    <n v="1.28"/>
    <x v="0"/>
    <n v="71"/>
    <n v="176"/>
    <n v="85"/>
    <n v="42"/>
    <s v="Moderate"/>
  </r>
  <r>
    <n v="1091"/>
    <x v="975"/>
    <x v="1047"/>
    <n v="3"/>
    <s v="elective"/>
    <x v="2"/>
    <x v="0"/>
    <n v="79"/>
    <n v="3.26"/>
    <n v="2.0099999999999998"/>
    <x v="0"/>
    <n v="97"/>
    <n v="164"/>
    <n v="68"/>
    <n v="30"/>
    <s v="Poor"/>
  </r>
  <r>
    <n v="1092"/>
    <x v="976"/>
    <x v="1048"/>
    <n v="4"/>
    <s v="emergency"/>
    <x v="2"/>
    <x v="11"/>
    <n v="50"/>
    <n v="10.53"/>
    <n v="9.5399999999999991"/>
    <x v="0"/>
    <n v="81"/>
    <n v="155"/>
    <n v="65"/>
    <n v="45"/>
    <s v="Moderate"/>
  </r>
  <r>
    <n v="1093"/>
    <x v="977"/>
    <x v="1049"/>
    <n v="2"/>
    <s v="elective"/>
    <x v="2"/>
    <x v="16"/>
    <n v="66"/>
    <n v="2.11"/>
    <n v="1.0900000000000001"/>
    <x v="0"/>
    <n v="88"/>
    <n v="176"/>
    <n v="75"/>
    <n v="45"/>
    <s v="Moderate"/>
  </r>
  <r>
    <n v="1094"/>
    <x v="978"/>
    <x v="1050"/>
    <n v="6"/>
    <s v="elective"/>
    <x v="3"/>
    <x v="3"/>
    <n v="83"/>
    <n v="16.86"/>
    <n v="13.31"/>
    <x v="0"/>
    <n v="74"/>
    <n v="177"/>
    <n v="83"/>
    <n v="55"/>
    <s v="Good"/>
  </r>
  <r>
    <n v="1095"/>
    <x v="979"/>
    <x v="1051"/>
    <n v="4"/>
    <s v="urgent"/>
    <x v="0"/>
    <x v="8"/>
    <n v="64"/>
    <n v="4.32"/>
    <n v="1.96"/>
    <x v="0"/>
    <n v="131"/>
    <n v="180"/>
    <n v="91"/>
    <n v="55"/>
    <s v="Good"/>
  </r>
  <r>
    <n v="1096"/>
    <x v="978"/>
    <x v="1052"/>
    <n v="5"/>
    <s v="elective"/>
    <x v="0"/>
    <x v="4"/>
    <n v="83"/>
    <n v="7.03"/>
    <n v="10.39"/>
    <x v="1"/>
    <n v="88"/>
    <n v="162"/>
    <n v="70"/>
    <n v="61"/>
    <s v="Good"/>
  </r>
  <r>
    <n v="1097"/>
    <x v="980"/>
    <x v="1053"/>
    <n v="4"/>
    <s v="elective"/>
    <x v="3"/>
    <x v="8"/>
    <n v="80"/>
    <n v="5.83"/>
    <n v="1.68"/>
    <x v="0"/>
    <n v="85"/>
    <n v="172"/>
    <n v="88"/>
    <n v="60"/>
    <s v="Good"/>
  </r>
  <r>
    <n v="1098"/>
    <x v="981"/>
    <x v="1054"/>
    <n v="2"/>
    <s v="urgent"/>
    <x v="2"/>
    <x v="16"/>
    <n v="72"/>
    <n v="3.52"/>
    <n v="1.68"/>
    <x v="0"/>
    <n v="73"/>
    <n v="177"/>
    <n v="112"/>
    <n v="55"/>
    <s v="Good"/>
  </r>
  <r>
    <n v="1099"/>
    <x v="982"/>
    <x v="1055"/>
    <n v="6"/>
    <s v="elective"/>
    <x v="4"/>
    <x v="3"/>
    <n v="38"/>
    <n v="7.39"/>
    <n v="1.29"/>
    <x v="0"/>
    <n v="101"/>
    <n v="165"/>
    <n v="62"/>
    <n v="50"/>
    <s v="Moderate"/>
  </r>
  <r>
    <n v="1100"/>
    <x v="983"/>
    <x v="1056"/>
    <n v="6"/>
    <s v="elective"/>
    <x v="0"/>
    <x v="7"/>
    <n v="71"/>
    <n v="3.29"/>
    <n v="1.03"/>
    <x v="0"/>
    <n v="124"/>
    <n v="154"/>
    <n v="85"/>
    <n v="55"/>
    <s v="Good"/>
  </r>
  <r>
    <n v="1101"/>
    <x v="984"/>
    <x v="1057"/>
    <n v="5"/>
    <s v="elective"/>
    <x v="2"/>
    <x v="4"/>
    <n v="74"/>
    <n v="2.36"/>
    <n v="1.1200000000000001"/>
    <x v="0"/>
    <n v="109"/>
    <n v="170"/>
    <n v="87"/>
    <n v="64"/>
    <s v="Good"/>
  </r>
  <r>
    <n v="1102"/>
    <x v="985"/>
    <x v="1058"/>
    <n v="4"/>
    <s v="urgent"/>
    <x v="2"/>
    <x v="15"/>
    <n v="63"/>
    <n v="1.59"/>
    <n v="1.25"/>
    <x v="0"/>
    <n v="71"/>
    <n v="180"/>
    <n v="120"/>
    <n v="40"/>
    <s v="Moderate"/>
  </r>
  <r>
    <n v="1103"/>
    <x v="986"/>
    <x v="1059"/>
    <n v="2"/>
    <s v="urgent"/>
    <x v="3"/>
    <x v="2"/>
    <n v="74"/>
    <n v="5.46"/>
    <n v="8.16"/>
    <x v="0"/>
    <n v="89"/>
    <n v="162"/>
    <n v="91"/>
    <n v="51"/>
    <s v="Good"/>
  </r>
  <r>
    <n v="1104"/>
    <x v="987"/>
    <x v="1060"/>
    <n v="2"/>
    <s v="emergency"/>
    <x v="4"/>
    <x v="11"/>
    <n v="30"/>
    <n v="32.299999999999997"/>
    <n v="8.73"/>
    <x v="0"/>
    <n v="81"/>
    <n v="150"/>
    <n v="69"/>
    <n v="45"/>
    <s v="Moderate"/>
  </r>
  <r>
    <n v="1105"/>
    <x v="988"/>
    <x v="1061"/>
    <n v="5"/>
    <s v="elective"/>
    <x v="2"/>
    <x v="7"/>
    <n v="78"/>
    <n v="3.06"/>
    <n v="1.1200000000000001"/>
    <x v="0"/>
    <n v="138"/>
    <n v="176"/>
    <n v="85"/>
    <n v="55"/>
    <s v="Good"/>
  </r>
  <r>
    <n v="1106"/>
    <x v="989"/>
    <x v="1062"/>
    <n v="4"/>
    <s v="urgent"/>
    <x v="2"/>
    <x v="16"/>
    <n v="59"/>
    <n v="1.51"/>
    <n v="0.89"/>
    <x v="0"/>
    <n v="67"/>
    <n v="158"/>
    <n v="77"/>
    <n v="60"/>
    <s v="Good"/>
  </r>
  <r>
    <n v="1107"/>
    <x v="990"/>
    <x v="1063"/>
    <n v="3"/>
    <s v="elective"/>
    <x v="3"/>
    <x v="15"/>
    <n v="76"/>
    <n v="6.19"/>
    <n v="3.02"/>
    <x v="0"/>
    <n v="83"/>
    <n v="169"/>
    <n v="75"/>
    <n v="61"/>
    <s v="Good"/>
  </r>
  <r>
    <n v="1108"/>
    <x v="991"/>
    <x v="1064"/>
    <n v="5"/>
    <s v="elective"/>
    <x v="3"/>
    <x v="11"/>
    <n v="72"/>
    <n v="5.24"/>
    <n v="1.84"/>
    <x v="0"/>
    <n v="113"/>
    <n v="172"/>
    <n v="75"/>
    <n v="55"/>
    <s v="Good"/>
  </r>
  <r>
    <n v="1109"/>
    <x v="992"/>
    <x v="1065"/>
    <n v="5"/>
    <s v="urgent"/>
    <x v="2"/>
    <x v="16"/>
    <n v="80"/>
    <n v="5.57"/>
    <n v="2.1800000000000002"/>
    <x v="0"/>
    <n v="77"/>
    <n v="179"/>
    <n v="85"/>
    <n v="55"/>
    <s v="Good"/>
  </r>
  <r>
    <n v="1110"/>
    <x v="993"/>
    <x v="1066"/>
    <n v="4"/>
    <s v="elective"/>
    <x v="0"/>
    <x v="15"/>
    <n v="78"/>
    <n v="7.01"/>
    <n v="1.56"/>
    <x v="0"/>
    <n v="105"/>
    <n v="161"/>
    <n v="54"/>
    <n v="60"/>
    <s v="Good"/>
  </r>
  <r>
    <n v="1111"/>
    <x v="994"/>
    <x v="1067"/>
    <n v="3"/>
    <s v="urgent"/>
    <x v="0"/>
    <x v="0"/>
    <n v="30"/>
    <n v="16"/>
    <n v="6.76"/>
    <x v="0"/>
    <n v="132"/>
    <n v="175"/>
    <n v="86"/>
    <n v="48"/>
    <s v="Moderate"/>
  </r>
  <r>
    <n v="1112"/>
    <x v="995"/>
    <x v="1067"/>
    <n v="2"/>
    <s v="urgent"/>
    <x v="2"/>
    <x v="11"/>
    <n v="64"/>
    <n v="13.66"/>
    <n v="7.06"/>
    <x v="0"/>
    <n v="118"/>
    <n v="170"/>
    <n v="103"/>
    <n v="39"/>
    <s v="Moderate"/>
  </r>
  <r>
    <n v="1113"/>
    <x v="996"/>
    <x v="1068"/>
    <n v="5"/>
    <s v="elective"/>
    <x v="2"/>
    <x v="7"/>
    <n v="79"/>
    <n v="4.87"/>
    <n v="1.76"/>
    <x v="0"/>
    <n v="138"/>
    <n v="168"/>
    <n v="68"/>
    <n v="60"/>
    <s v="Good"/>
  </r>
  <r>
    <n v="1114"/>
    <x v="997"/>
    <x v="1069"/>
    <n v="2"/>
    <s v="elective"/>
    <x v="2"/>
    <x v="11"/>
    <n v="61"/>
    <n v="1.01"/>
    <n v="0.52"/>
    <x v="0"/>
    <n v="83"/>
    <n v="182"/>
    <n v="75"/>
    <n v="26"/>
    <s v="Poor"/>
  </r>
  <r>
    <n v="1115"/>
    <x v="998"/>
    <x v="1070"/>
    <n v="4"/>
    <s v="emergency"/>
    <x v="4"/>
    <x v="11"/>
    <n v="44"/>
    <n v="9.0399999999999991"/>
    <n v="2.65"/>
    <x v="0"/>
    <n v="100"/>
    <n v="175"/>
    <n v="87"/>
    <n v="55"/>
    <s v="Good"/>
  </r>
  <r>
    <n v="1116"/>
    <x v="999"/>
    <x v="1071"/>
    <n v="4"/>
    <s v="elective"/>
    <x v="2"/>
    <x v="6"/>
    <n v="56"/>
    <n v="1.33"/>
    <n v="1.08"/>
    <x v="0"/>
    <n v="81"/>
    <n v="175"/>
    <n v="57"/>
    <n v="55"/>
    <s v="Good"/>
  </r>
  <r>
    <n v="1117"/>
    <x v="1000"/>
    <x v="1072"/>
    <n v="5"/>
    <s v="elective"/>
    <x v="0"/>
    <x v="8"/>
    <n v="49"/>
    <n v="1.51"/>
    <n v="0.5"/>
    <x v="0"/>
    <n v="98"/>
    <n v="167"/>
    <n v="74"/>
    <n v="50"/>
    <s v="Moderate"/>
  </r>
  <r>
    <n v="1118"/>
    <x v="1001"/>
    <x v="1073"/>
    <n v="5"/>
    <s v="elective"/>
    <x v="2"/>
    <x v="8"/>
    <n v="61"/>
    <n v="1.01"/>
    <n v="0.56999999999999995"/>
    <x v="0"/>
    <n v="96"/>
    <n v="168"/>
    <n v="62"/>
    <n v="45"/>
    <s v="Moderate"/>
  </r>
  <r>
    <n v="1119"/>
    <x v="1002"/>
    <x v="1074"/>
    <n v="4"/>
    <s v="elective"/>
    <x v="2"/>
    <x v="6"/>
    <n v="76"/>
    <n v="2.69"/>
    <n v="1.19"/>
    <x v="0"/>
    <n v="84"/>
    <n v="168"/>
    <n v="68"/>
    <n v="44"/>
    <s v="Moderate"/>
  </r>
  <r>
    <n v="1120"/>
    <x v="1003"/>
    <x v="1075"/>
    <n v="4"/>
    <s v="emergency"/>
    <x v="3"/>
    <x v="15"/>
    <n v="83"/>
    <n v="34.5"/>
    <n v="21.12"/>
    <x v="0"/>
    <n v="71"/>
    <n v="168"/>
    <n v="77"/>
    <n v="50"/>
    <s v="Moderate"/>
  </r>
  <r>
    <n v="1121"/>
    <x v="1004"/>
    <x v="1076"/>
    <n v="1"/>
    <s v="emergency"/>
    <x v="4"/>
    <x v="15"/>
    <n v="72"/>
    <n v="24.76"/>
    <n v="6.19"/>
    <x v="0"/>
    <n v="82"/>
    <n v="172"/>
    <n v="96"/>
    <n v="53"/>
    <s v="Good"/>
  </r>
  <r>
    <n v="1122"/>
    <x v="1005"/>
    <x v="1077"/>
    <n v="5"/>
    <s v="elective"/>
    <x v="3"/>
    <x v="11"/>
    <n v="65"/>
    <n v="3.6"/>
    <n v="1.33"/>
    <x v="0"/>
    <n v="86"/>
    <n v="180"/>
    <n v="91"/>
    <n v="52"/>
    <s v="Good"/>
  </r>
  <r>
    <n v="1123"/>
    <x v="1005"/>
    <x v="1078"/>
    <n v="4"/>
    <s v="elective"/>
    <x v="2"/>
    <x v="3"/>
    <n v="72"/>
    <n v="3.35"/>
    <n v="1.41"/>
    <x v="0"/>
    <n v="92"/>
    <n v="176"/>
    <n v="86"/>
    <n v="58"/>
    <s v="Good"/>
  </r>
  <r>
    <n v="1124"/>
    <x v="1006"/>
    <x v="1079"/>
    <n v="6"/>
    <s v="emergency"/>
    <x v="2"/>
    <x v="1"/>
    <n v="57"/>
    <n v="5.23"/>
    <n v="1.3"/>
    <x v="0"/>
    <n v="82"/>
    <n v="187"/>
    <n v="116"/>
    <n v="65"/>
    <s v="Good"/>
  </r>
  <r>
    <n v="1125"/>
    <x v="1007"/>
    <x v="1080"/>
    <n v="4"/>
    <s v="urgent"/>
    <x v="3"/>
    <x v="4"/>
    <n v="79"/>
    <n v="13.2"/>
    <n v="5.94"/>
    <x v="0"/>
    <n v="116"/>
    <n v="182"/>
    <n v="100"/>
    <n v="40"/>
    <s v="Moderate"/>
  </r>
  <r>
    <n v="1126"/>
    <x v="1008"/>
    <x v="1081"/>
    <n v="1"/>
    <s v="urgent"/>
    <x v="3"/>
    <x v="8"/>
    <n v="66"/>
    <n v="12.38"/>
    <n v="9.89"/>
    <x v="0"/>
    <n v="108"/>
    <n v="176"/>
    <n v="82"/>
    <n v="58"/>
    <s v="Good"/>
  </r>
  <r>
    <n v="1127"/>
    <x v="1009"/>
    <x v="1082"/>
    <n v="6"/>
    <s v="elective"/>
    <x v="4"/>
    <x v="3"/>
    <n v="32"/>
    <n v="4.6500000000000004"/>
    <n v="1.64"/>
    <x v="0"/>
    <n v="124"/>
    <n v="172"/>
    <n v="84"/>
    <n v="60"/>
    <s v="Good"/>
  </r>
  <r>
    <n v="1128"/>
    <x v="1010"/>
    <x v="1083"/>
    <n v="5"/>
    <s v="emergency"/>
    <x v="4"/>
    <x v="0"/>
    <n v="79"/>
    <n v="42.07"/>
    <n v="9.9499999999999993"/>
    <x v="0"/>
    <n v="74"/>
    <n v="168"/>
    <n v="63"/>
    <n v="60"/>
    <s v="Good"/>
  </r>
  <r>
    <n v="1129"/>
    <x v="1011"/>
    <x v="1084"/>
    <n v="6"/>
    <s v="urgent"/>
    <x v="2"/>
    <x v="15"/>
    <n v="55"/>
    <n v="5.46"/>
    <n v="3.93"/>
    <x v="0"/>
    <n v="87"/>
    <n v="178"/>
    <n v="63"/>
    <n v="28"/>
    <s v="Poor"/>
  </r>
  <r>
    <n v="1130"/>
    <x v="1012"/>
    <x v="1085"/>
    <n v="1"/>
    <s v="urgent"/>
    <x v="2"/>
    <x v="0"/>
    <n v="77"/>
    <n v="4.8499999999999996"/>
    <n v="1.44"/>
    <x v="0"/>
    <n v="96"/>
    <n v="154"/>
    <n v="66"/>
    <n v="59"/>
    <s v="Good"/>
  </r>
  <r>
    <n v="1131"/>
    <x v="1013"/>
    <x v="1086"/>
    <n v="5"/>
    <s v="emergency"/>
    <x v="2"/>
    <x v="2"/>
    <n v="43"/>
    <n v="10.74"/>
    <n v="4.41"/>
    <x v="0"/>
    <n v="107"/>
    <n v="180"/>
    <n v="83"/>
    <n v="51"/>
    <s v="Good"/>
  </r>
  <r>
    <n v="1132"/>
    <x v="1014"/>
    <x v="1087"/>
    <n v="3"/>
    <s v="urgent"/>
    <x v="0"/>
    <x v="8"/>
    <n v="76"/>
    <n v="16.12"/>
    <n v="14.72"/>
    <x v="1"/>
    <n v="92"/>
    <n v="180"/>
    <n v="90"/>
    <n v="15"/>
    <s v="Very Poor"/>
  </r>
  <r>
    <n v="1133"/>
    <x v="1015"/>
    <x v="1088"/>
    <n v="6"/>
    <s v="elective"/>
    <x v="3"/>
    <x v="1"/>
    <n v="77"/>
    <n v="4.83"/>
    <n v="2.5099999999999998"/>
    <x v="0"/>
    <n v="106"/>
    <n v="185"/>
    <n v="89"/>
    <n v="40"/>
    <s v="Moderate"/>
  </r>
  <r>
    <n v="1134"/>
    <x v="1015"/>
    <x v="1089"/>
    <n v="1"/>
    <s v="elective"/>
    <x v="2"/>
    <x v="10"/>
    <n v="72"/>
    <n v="2.86"/>
    <n v="1.18"/>
    <x v="0"/>
    <n v="68"/>
    <n v="182"/>
    <n v="106"/>
    <n v="50"/>
    <s v="Moderate"/>
  </r>
  <r>
    <n v="1135"/>
    <x v="1016"/>
    <x v="1090"/>
    <n v="5"/>
    <s v="urgent"/>
    <x v="2"/>
    <x v="11"/>
    <n v="78"/>
    <n v="8.18"/>
    <n v="2.4"/>
    <x v="0"/>
    <n v="120"/>
    <n v="174"/>
    <n v="93"/>
    <n v="55"/>
    <s v="Good"/>
  </r>
  <r>
    <n v="1136"/>
    <x v="1017"/>
    <x v="1091"/>
    <n v="4"/>
    <s v="urgent"/>
    <x v="2"/>
    <x v="7"/>
    <n v="76"/>
    <n v="4.55"/>
    <n v="2.27"/>
    <x v="0"/>
    <n v="76"/>
    <n v="173"/>
    <n v="90"/>
    <n v="64"/>
    <s v="Good"/>
  </r>
  <r>
    <n v="1137"/>
    <x v="1017"/>
    <x v="1092"/>
    <n v="6"/>
    <s v="emergency"/>
    <x v="2"/>
    <x v="1"/>
    <n v="74"/>
    <n v="7.84"/>
    <n v="1.74"/>
    <x v="0"/>
    <n v="105"/>
    <n v="177"/>
    <n v="77"/>
    <n v="59"/>
    <s v="Good"/>
  </r>
  <r>
    <n v="1138"/>
    <x v="1018"/>
    <x v="1093"/>
    <n v="1"/>
    <s v="elective"/>
    <x v="0"/>
    <x v="4"/>
    <n v="51"/>
    <n v="1.51"/>
    <n v="1.45"/>
    <x v="0"/>
    <n v="62"/>
    <n v="154"/>
    <n v="75"/>
    <n v="45"/>
    <s v="Moderate"/>
  </r>
  <r>
    <n v="1139"/>
    <x v="1019"/>
    <x v="1094"/>
    <n v="5"/>
    <s v="urgent"/>
    <x v="2"/>
    <x v="0"/>
    <n v="57"/>
    <n v="6.28"/>
    <n v="4.0199999999999996"/>
    <x v="0"/>
    <n v="79"/>
    <n v="159"/>
    <n v="58"/>
    <n v="76"/>
    <s v="Good"/>
  </r>
  <r>
    <n v="1140"/>
    <x v="1020"/>
    <x v="1095"/>
    <n v="6"/>
    <s v="urgent"/>
    <x v="2"/>
    <x v="15"/>
    <n v="77"/>
    <n v="7.33"/>
    <n v="5.87"/>
    <x v="1"/>
    <n v="66"/>
    <n v="151"/>
    <n v="86"/>
    <n v="55"/>
    <s v="Good"/>
  </r>
  <r>
    <n v="1141"/>
    <x v="1021"/>
    <x v="1096"/>
    <n v="4"/>
    <s v="elective"/>
    <x v="2"/>
    <x v="7"/>
    <n v="63"/>
    <n v="1.1499999999999999"/>
    <n v="0.82"/>
    <x v="0"/>
    <n v="136"/>
    <n v="158"/>
    <n v="57"/>
    <n v="55"/>
    <s v="Good"/>
  </r>
  <r>
    <n v="1142"/>
    <x v="1022"/>
    <x v="1097"/>
    <n v="5"/>
    <s v="elective"/>
    <x v="2"/>
    <x v="11"/>
    <n v="73"/>
    <n v="2.21"/>
    <n v="0.81"/>
    <x v="0"/>
    <n v="65"/>
    <n v="164"/>
    <n v="61"/>
    <n v="45"/>
    <s v="Moderate"/>
  </r>
  <r>
    <n v="1143"/>
    <x v="1023"/>
    <x v="1098"/>
    <n v="5"/>
    <s v="elective"/>
    <x v="0"/>
    <x v="1"/>
    <n v="62"/>
    <n v="2.5299999999999998"/>
    <n v="0.66"/>
    <x v="0"/>
    <n v="83"/>
    <n v="161"/>
    <n v="92"/>
    <n v="55"/>
    <s v="Good"/>
  </r>
  <r>
    <n v="1144"/>
    <x v="1024"/>
    <x v="1099"/>
    <n v="4"/>
    <s v="elective"/>
    <x v="0"/>
    <x v="1"/>
    <n v="70"/>
    <n v="6.31"/>
    <n v="1.7"/>
    <x v="0"/>
    <n v="74"/>
    <n v="151"/>
    <n v="54"/>
    <n v="35"/>
    <s v="Moderate"/>
  </r>
  <r>
    <n v="1145"/>
    <x v="1025"/>
    <x v="1100"/>
    <n v="6"/>
    <s v="elective"/>
    <x v="4"/>
    <x v="1"/>
    <n v="56"/>
    <n v="11.73"/>
    <n v="4.87"/>
    <x v="0"/>
    <n v="95"/>
    <n v="178"/>
    <n v="103"/>
    <n v="66"/>
    <s v="Good"/>
  </r>
  <r>
    <n v="1146"/>
    <x v="1026"/>
    <x v="1101"/>
    <n v="3"/>
    <s v="elective"/>
    <x v="0"/>
    <x v="0"/>
    <n v="39"/>
    <n v="2.27"/>
    <n v="0.76"/>
    <x v="0"/>
    <n v="159"/>
    <n v="176"/>
    <n v="96"/>
    <n v="35"/>
    <s v="Moderate"/>
  </r>
  <r>
    <n v="1147"/>
    <x v="1025"/>
    <x v="1101"/>
    <n v="1"/>
    <s v="elective"/>
    <x v="0"/>
    <x v="6"/>
    <n v="30"/>
    <n v="1.51"/>
    <n v="1.75"/>
    <x v="0"/>
    <n v="83"/>
    <n v="168"/>
    <n v="82"/>
    <n v="60"/>
    <s v="Good"/>
  </r>
  <r>
    <n v="1148"/>
    <x v="1027"/>
    <x v="1102"/>
    <n v="4"/>
    <s v="urgent"/>
    <x v="2"/>
    <x v="8"/>
    <n v="67"/>
    <n v="5.24"/>
    <n v="4.16"/>
    <x v="0"/>
    <n v="83"/>
    <n v="164"/>
    <n v="72"/>
    <n v="29"/>
    <s v="Poor"/>
  </r>
  <r>
    <n v="1149"/>
    <x v="1028"/>
    <x v="1103"/>
    <n v="5"/>
    <s v="urgent"/>
    <x v="2"/>
    <x v="11"/>
    <n v="76"/>
    <n v="25.86"/>
    <n v="4.8"/>
    <x v="0"/>
    <n v="99"/>
    <n v="155"/>
    <n v="81"/>
    <n v="45"/>
    <s v="Moderate"/>
  </r>
  <r>
    <n v="1150"/>
    <x v="1029"/>
    <x v="1104"/>
    <n v="3"/>
    <s v="emergency"/>
    <x v="6"/>
    <x v="1"/>
    <n v="37"/>
    <n v="1.78"/>
    <n v="1.01"/>
    <x v="0"/>
    <n v="68"/>
    <n v="171"/>
    <n v="87"/>
    <n v="26"/>
    <s v="Poor"/>
  </r>
  <r>
    <n v="1151"/>
    <x v="1030"/>
    <x v="1105"/>
    <n v="6"/>
    <s v="elective"/>
    <x v="0"/>
    <x v="3"/>
    <n v="75"/>
    <n v="19.239999999999998"/>
    <n v="7.54"/>
    <x v="0"/>
    <n v="80"/>
    <n v="151"/>
    <n v="87"/>
    <n v="45"/>
    <s v="Moderate"/>
  </r>
  <r>
    <n v="1152"/>
    <x v="982"/>
    <x v="1106"/>
    <n v="6"/>
    <s v="urgent"/>
    <x v="2"/>
    <x v="15"/>
    <n v="66"/>
    <n v="3.85"/>
    <n v="2.4700000000000002"/>
    <x v="0"/>
    <n v="68"/>
    <n v="166"/>
    <n v="81"/>
    <n v="36"/>
    <s v="Moderate"/>
  </r>
  <r>
    <n v="1153"/>
    <x v="1031"/>
    <x v="1106"/>
    <n v="1"/>
    <s v="urgent"/>
    <x v="0"/>
    <x v="16"/>
    <n v="63"/>
    <n v="11.38"/>
    <n v="6.12"/>
    <x v="0"/>
    <n v="96"/>
    <n v="164"/>
    <n v="72"/>
    <n v="60"/>
    <s v="Good"/>
  </r>
  <r>
    <n v="1154"/>
    <x v="1032"/>
    <x v="1107"/>
    <n v="5"/>
    <s v="elective"/>
    <x v="2"/>
    <x v="11"/>
    <n v="66"/>
    <n v="2.11"/>
    <n v="3.58"/>
    <x v="0"/>
    <n v="104"/>
    <n v="170"/>
    <n v="67"/>
    <n v="55"/>
    <s v="Good"/>
  </r>
  <r>
    <n v="1155"/>
    <x v="1033"/>
    <x v="1108"/>
    <n v="6"/>
    <s v="elective"/>
    <x v="4"/>
    <x v="1"/>
    <n v="78"/>
    <n v="19.39"/>
    <n v="1.98"/>
    <x v="0"/>
    <n v="79"/>
    <n v="170"/>
    <n v="102"/>
    <n v="38"/>
    <s v="Moderate"/>
  </r>
  <r>
    <n v="1156"/>
    <x v="1034"/>
    <x v="1109"/>
    <n v="4"/>
    <s v="urgent"/>
    <x v="2"/>
    <x v="7"/>
    <n v="67"/>
    <n v="1.49"/>
    <n v="0.84"/>
    <x v="0"/>
    <n v="97"/>
    <n v="185"/>
    <n v="101"/>
    <n v="55"/>
    <s v="Good"/>
  </r>
  <r>
    <n v="1157"/>
    <x v="1035"/>
    <x v="1110"/>
    <n v="1"/>
    <s v="elective"/>
    <x v="0"/>
    <x v="10"/>
    <n v="77"/>
    <n v="4.83"/>
    <n v="1.22"/>
    <x v="0"/>
    <n v="69"/>
    <n v="160"/>
    <n v="72"/>
    <n v="58"/>
    <s v="Good"/>
  </r>
  <r>
    <n v="1158"/>
    <x v="1036"/>
    <x v="1110"/>
    <n v="3"/>
    <s v="urgent"/>
    <x v="3"/>
    <x v="0"/>
    <n v="70"/>
    <n v="1.82"/>
    <n v="0.91"/>
    <x v="0"/>
    <n v="64"/>
    <n v="180"/>
    <n v="95"/>
    <n v="50"/>
    <s v="Moderate"/>
  </r>
  <r>
    <n v="1159"/>
    <x v="1037"/>
    <x v="1111"/>
    <n v="4"/>
    <s v="elective"/>
    <x v="2"/>
    <x v="7"/>
    <n v="73"/>
    <n v="2.21"/>
    <n v="0.72"/>
    <x v="0"/>
    <n v="62"/>
    <n v="188"/>
    <n v="102"/>
    <n v="45"/>
    <s v="Moderate"/>
  </r>
  <r>
    <n v="1160"/>
    <x v="1038"/>
    <x v="1112"/>
    <n v="1"/>
    <s v="emergency"/>
    <x v="4"/>
    <x v="15"/>
    <n v="53"/>
    <n v="9.0399999999999991"/>
    <n v="1.92"/>
    <x v="0"/>
    <n v="84"/>
    <n v="172"/>
    <n v="92"/>
    <n v="50"/>
    <s v="Moderate"/>
  </r>
  <r>
    <n v="1161"/>
    <x v="1039"/>
    <x v="1113"/>
    <n v="4"/>
    <s v="elective"/>
    <x v="0"/>
    <x v="7"/>
    <n v="81"/>
    <n v="6.21"/>
    <n v="2.36"/>
    <x v="0"/>
    <n v="144"/>
    <n v="166"/>
    <n v="57"/>
    <n v="55"/>
    <s v="Good"/>
  </r>
  <r>
    <n v="1162"/>
    <x v="1040"/>
    <x v="1114"/>
    <n v="5"/>
    <s v="urgent"/>
    <x v="3"/>
    <x v="13"/>
    <n v="68"/>
    <n v="10.69"/>
    <n v="5.01"/>
    <x v="0"/>
    <n v="80"/>
    <n v="166"/>
    <n v="85"/>
    <n v="28"/>
    <s v="Poor"/>
  </r>
  <r>
    <n v="1163"/>
    <x v="1041"/>
    <x v="1114"/>
    <n v="1"/>
    <s v="urgent"/>
    <x v="0"/>
    <x v="8"/>
    <n v="54"/>
    <n v="10.91"/>
    <n v="5.48"/>
    <x v="0"/>
    <n v="97"/>
    <n v="162"/>
    <n v="78"/>
    <n v="55"/>
    <s v="Good"/>
  </r>
  <r>
    <n v="1164"/>
    <x v="1042"/>
    <x v="1115"/>
    <n v="6"/>
    <s v="urgent"/>
    <x v="2"/>
    <x v="15"/>
    <n v="82"/>
    <n v="9.75"/>
    <n v="3.03"/>
    <x v="0"/>
    <n v="129"/>
    <n v="171"/>
    <n v="79"/>
    <n v="55"/>
    <s v="Good"/>
  </r>
  <r>
    <n v="1165"/>
    <x v="1043"/>
    <x v="1116"/>
    <n v="5"/>
    <s v="elective"/>
    <x v="2"/>
    <x v="13"/>
    <n v="63"/>
    <n v="1.1499999999999999"/>
    <n v="0.61"/>
    <x v="0"/>
    <n v="181"/>
    <n v="168"/>
    <n v="91"/>
    <n v="70"/>
    <s v="Good"/>
  </r>
  <r>
    <n v="1166"/>
    <x v="1044"/>
    <x v="1117"/>
    <n v="5"/>
    <s v="elective"/>
    <x v="2"/>
    <x v="0"/>
    <n v="58"/>
    <n v="1.33"/>
    <n v="0.92"/>
    <x v="0"/>
    <n v="73"/>
    <n v="156"/>
    <n v="67"/>
    <n v="55"/>
    <s v="Good"/>
  </r>
  <r>
    <n v="1167"/>
    <x v="1045"/>
    <x v="1118"/>
    <n v="4"/>
    <s v="elective"/>
    <x v="2"/>
    <x v="0"/>
    <n v="60"/>
    <n v="1.53"/>
    <n v="0.67"/>
    <x v="0"/>
    <n v="91"/>
    <n v="170"/>
    <n v="75"/>
    <n v="55"/>
    <s v="Good"/>
  </r>
  <r>
    <n v="1168"/>
    <x v="1046"/>
    <x v="1119"/>
    <n v="6"/>
    <s v="elective"/>
    <x v="3"/>
    <x v="1"/>
    <n v="74"/>
    <n v="3.99"/>
    <n v="1.71"/>
    <x v="0"/>
    <n v="166"/>
    <n v="162"/>
    <n v="72"/>
    <n v="55"/>
    <s v="Good"/>
  </r>
  <r>
    <n v="1169"/>
    <x v="1046"/>
    <x v="1120"/>
    <n v="1"/>
    <s v="elective"/>
    <x v="2"/>
    <x v="6"/>
    <n v="76"/>
    <n v="2.69"/>
    <n v="1.84"/>
    <x v="0"/>
    <n v="81"/>
    <n v="172"/>
    <n v="78"/>
    <n v="56"/>
    <s v="Good"/>
  </r>
  <r>
    <n v="1170"/>
    <x v="1039"/>
    <x v="1121"/>
    <n v="5"/>
    <s v="urgent"/>
    <x v="0"/>
    <x v="11"/>
    <n v="76"/>
    <n v="12.49"/>
    <n v="2.66"/>
    <x v="0"/>
    <n v="84"/>
    <n v="173"/>
    <n v="80"/>
    <n v="60"/>
    <s v="Good"/>
  </r>
  <r>
    <n v="1171"/>
    <x v="1046"/>
    <x v="1122"/>
    <n v="4"/>
    <s v="elective"/>
    <x v="3"/>
    <x v="8"/>
    <n v="69"/>
    <n v="2.89"/>
    <n v="1.67"/>
    <x v="0"/>
    <n v="74"/>
    <n v="181"/>
    <n v="75"/>
    <n v="88"/>
    <s v="Good"/>
  </r>
  <r>
    <n v="1172"/>
    <x v="1047"/>
    <x v="1123"/>
    <n v="1"/>
    <s v="elective"/>
    <x v="3"/>
    <x v="6"/>
    <n v="80"/>
    <n v="5.83"/>
    <n v="3.89"/>
    <x v="0"/>
    <n v="75"/>
    <n v="176"/>
    <n v="73"/>
    <n v="45"/>
    <s v="Moderate"/>
  </r>
  <r>
    <n v="1173"/>
    <x v="1048"/>
    <x v="1124"/>
    <n v="5"/>
    <s v="urgent"/>
    <x v="2"/>
    <x v="15"/>
    <n v="59"/>
    <n v="2.09"/>
    <n v="2.72"/>
    <x v="0"/>
    <n v="65"/>
    <n v="175"/>
    <n v="74"/>
    <n v="45"/>
    <s v="Moderate"/>
  </r>
  <r>
    <n v="1174"/>
    <x v="1049"/>
    <x v="1125"/>
    <n v="4"/>
    <s v="elective"/>
    <x v="2"/>
    <x v="16"/>
    <n v="68"/>
    <n v="1.59"/>
    <n v="0.63"/>
    <x v="0"/>
    <n v="74"/>
    <n v="150"/>
    <n v="108"/>
    <n v="55"/>
    <s v="Good"/>
  </r>
  <r>
    <n v="1175"/>
    <x v="1050"/>
    <x v="1126"/>
    <n v="3"/>
    <s v="elective"/>
    <x v="4"/>
    <x v="10"/>
    <n v="54"/>
    <n v="11.73"/>
    <n v="4.87"/>
    <x v="0"/>
    <n v="99"/>
    <n v="160"/>
    <n v="82"/>
    <n v="50"/>
    <s v="Moderate"/>
  </r>
  <r>
    <n v="1176"/>
    <x v="1051"/>
    <x v="1127"/>
    <n v="1"/>
    <s v="elective"/>
    <x v="0"/>
    <x v="8"/>
    <n v="73"/>
    <n v="14.78"/>
    <n v="4.12"/>
    <x v="0"/>
    <n v="132"/>
    <n v="176"/>
    <n v="65"/>
    <n v="60"/>
    <s v="Good"/>
  </r>
  <r>
    <n v="1177"/>
    <x v="1051"/>
    <x v="1128"/>
    <n v="5"/>
    <s v="elective"/>
    <x v="0"/>
    <x v="2"/>
    <n v="79"/>
    <n v="8.1"/>
    <n v="3"/>
    <x v="0"/>
    <n v="72"/>
    <n v="161"/>
    <n v="65"/>
    <n v="60"/>
    <s v="Good"/>
  </r>
  <r>
    <n v="1178"/>
    <x v="1051"/>
    <x v="1128"/>
    <n v="6"/>
    <s v="elective"/>
    <x v="3"/>
    <x v="3"/>
    <n v="80"/>
    <n v="5.83"/>
    <n v="2.04"/>
    <x v="0"/>
    <n v="90"/>
    <n v="154"/>
    <n v="60"/>
    <n v="55"/>
    <s v="Good"/>
  </r>
  <r>
    <n v="1179"/>
    <x v="1051"/>
    <x v="1129"/>
    <n v="4"/>
    <s v="elective"/>
    <x v="0"/>
    <x v="4"/>
    <n v="72"/>
    <n v="5.24"/>
    <n v="1.07"/>
    <x v="0"/>
    <n v="79"/>
    <n v="157"/>
    <n v="77"/>
    <n v="60"/>
    <s v="Good"/>
  </r>
  <r>
    <n v="1180"/>
    <x v="1051"/>
    <x v="1130"/>
    <n v="5"/>
    <s v="elective"/>
    <x v="0"/>
    <x v="2"/>
    <n v="52"/>
    <n v="1.51"/>
    <n v="0.56000000000000005"/>
    <x v="0"/>
    <n v="91"/>
    <n v="175"/>
    <n v="89"/>
    <n v="55"/>
    <s v="Good"/>
  </r>
  <r>
    <n v="1181"/>
    <x v="1052"/>
    <x v="1131"/>
    <n v="4"/>
    <s v="urgent"/>
    <x v="2"/>
    <x v="4"/>
    <n v="59"/>
    <n v="1.51"/>
    <n v="0.8"/>
    <x v="0"/>
    <n v="97"/>
    <n v="176"/>
    <n v="88"/>
    <n v="55"/>
    <s v="Good"/>
  </r>
  <r>
    <n v="1182"/>
    <x v="1053"/>
    <x v="1132"/>
    <n v="6"/>
    <s v="elective"/>
    <x v="4"/>
    <x v="3"/>
    <n v="47"/>
    <n v="4.6500000000000004"/>
    <n v="2.84"/>
    <x v="0"/>
    <n v="96"/>
    <n v="166"/>
    <n v="106"/>
    <n v="30"/>
    <s v="Poor"/>
  </r>
  <r>
    <n v="1183"/>
    <x v="1054"/>
    <x v="1133"/>
    <n v="1"/>
    <s v="elective"/>
    <x v="0"/>
    <x v="0"/>
    <n v="61"/>
    <n v="1.72"/>
    <n v="0.69"/>
    <x v="0"/>
    <n v="106"/>
    <n v="168"/>
    <n v="92"/>
    <n v="48"/>
    <s v="Moderate"/>
  </r>
  <r>
    <n v="1184"/>
    <x v="1054"/>
    <x v="1134"/>
    <n v="6"/>
    <s v="elective"/>
    <x v="0"/>
    <x v="15"/>
    <n v="64"/>
    <n v="2.09"/>
    <n v="0.76"/>
    <x v="0"/>
    <n v="84"/>
    <n v="166"/>
    <n v="89"/>
    <n v="30"/>
    <s v="Poor"/>
  </r>
  <r>
    <n v="1185"/>
    <x v="1055"/>
    <x v="1135"/>
    <n v="4"/>
    <s v="elective"/>
    <x v="3"/>
    <x v="1"/>
    <n v="87"/>
    <n v="8.99"/>
    <n v="1.85"/>
    <x v="0"/>
    <n v="124"/>
    <n v="170"/>
    <n v="67"/>
    <n v="29"/>
    <s v="Poor"/>
  </r>
  <r>
    <n v="1186"/>
    <x v="1054"/>
    <x v="1136"/>
    <n v="5"/>
    <s v="elective"/>
    <x v="3"/>
    <x v="2"/>
    <n v="82"/>
    <n v="8.9700000000000006"/>
    <n v="7.45"/>
    <x v="0"/>
    <n v="65"/>
    <n v="165"/>
    <n v="106"/>
    <n v="50"/>
    <s v="Moderate"/>
  </r>
  <r>
    <n v="1187"/>
    <x v="1056"/>
    <x v="1137"/>
    <n v="1"/>
    <s v="urgent"/>
    <x v="0"/>
    <x v="0"/>
    <n v="67"/>
    <n v="11.84"/>
    <n v="2.89"/>
    <x v="0"/>
    <n v="87"/>
    <n v="171"/>
    <n v="87"/>
    <n v="68"/>
    <s v="Good"/>
  </r>
  <r>
    <n v="1188"/>
    <x v="1057"/>
    <x v="1138"/>
    <n v="4"/>
    <s v="elective"/>
    <x v="0"/>
    <x v="1"/>
    <n v="49"/>
    <n v="1.51"/>
    <n v="0.5"/>
    <x v="0"/>
    <n v="76"/>
    <n v="177"/>
    <n v="107"/>
    <n v="50"/>
    <s v="Moderate"/>
  </r>
  <r>
    <n v="1189"/>
    <x v="1058"/>
    <x v="1139"/>
    <n v="6"/>
    <s v="urgent"/>
    <x v="2"/>
    <x v="15"/>
    <n v="66"/>
    <n v="2.39"/>
    <n v="1.42"/>
    <x v="0"/>
    <n v="95"/>
    <n v="179"/>
    <n v="78"/>
    <n v="29"/>
    <s v="Poor"/>
  </r>
  <r>
    <n v="1190"/>
    <x v="1059"/>
    <x v="1140"/>
    <n v="3"/>
    <s v="elective"/>
    <x v="2"/>
    <x v="6"/>
    <n v="65"/>
    <n v="1.31"/>
    <n v="0.78"/>
    <x v="0"/>
    <n v="82"/>
    <n v="179"/>
    <n v="96"/>
    <n v="57"/>
    <s v="Good"/>
  </r>
  <r>
    <n v="1191"/>
    <x v="1060"/>
    <x v="1141"/>
    <n v="6"/>
    <s v="elective"/>
    <x v="2"/>
    <x v="1"/>
    <n v="70"/>
    <n v="4.7300000000000004"/>
    <n v="2.21"/>
    <x v="0"/>
    <n v="96"/>
    <n v="178"/>
    <n v="89"/>
    <n v="55"/>
    <s v="Good"/>
  </r>
  <r>
    <n v="1192"/>
    <x v="1061"/>
    <x v="1142"/>
    <n v="1"/>
    <s v="urgent"/>
    <x v="2"/>
    <x v="15"/>
    <n v="71"/>
    <n v="3.67"/>
    <n v="2.38"/>
    <x v="0"/>
    <n v="69"/>
    <n v="179"/>
    <n v="93"/>
    <n v="50"/>
    <s v="Moderate"/>
  </r>
  <r>
    <n v="1193"/>
    <x v="1062"/>
    <x v="1143"/>
    <n v="5"/>
    <s v="urgent"/>
    <x v="2"/>
    <x v="11"/>
    <n v="71"/>
    <n v="1.94"/>
    <n v="1.04"/>
    <x v="0"/>
    <n v="121"/>
    <n v="166"/>
    <n v="68"/>
    <n v="67"/>
    <s v="Good"/>
  </r>
  <r>
    <n v="1194"/>
    <x v="1059"/>
    <x v="1144"/>
    <n v="4"/>
    <s v="elective"/>
    <x v="0"/>
    <x v="7"/>
    <n v="55"/>
    <n v="3.13"/>
    <n v="1.96"/>
    <x v="0"/>
    <n v="128"/>
    <n v="163"/>
    <n v="71"/>
    <n v="64"/>
    <s v="Good"/>
  </r>
  <r>
    <n v="1195"/>
    <x v="1063"/>
    <x v="1145"/>
    <n v="3"/>
    <s v="elective"/>
    <x v="3"/>
    <x v="6"/>
    <n v="66"/>
    <n v="2.38"/>
    <n v="3.92"/>
    <x v="0"/>
    <n v="187"/>
    <n v="165"/>
    <n v="70"/>
    <n v="40"/>
    <s v="Moderate"/>
  </r>
  <r>
    <n v="1196"/>
    <x v="1064"/>
    <x v="1146"/>
    <n v="6"/>
    <s v="elective"/>
    <x v="4"/>
    <x v="1"/>
    <n v="69"/>
    <n v="11.67"/>
    <n v="3.49"/>
    <x v="0"/>
    <n v="145"/>
    <n v="179"/>
    <n v="92"/>
    <n v="55"/>
    <s v="Good"/>
  </r>
  <r>
    <n v="1197"/>
    <x v="1065"/>
    <x v="1147"/>
    <n v="5"/>
    <s v="elective"/>
    <x v="2"/>
    <x v="11"/>
    <n v="72"/>
    <n v="2.86"/>
    <n v="0.97"/>
    <x v="0"/>
    <n v="68"/>
    <n v="171"/>
    <n v="67"/>
    <n v="60"/>
    <s v="Good"/>
  </r>
  <r>
    <n v="1198"/>
    <x v="1066"/>
    <x v="1148"/>
    <n v="1"/>
    <s v="emergency"/>
    <x v="4"/>
    <x v="11"/>
    <n v="70"/>
    <n v="32.04"/>
    <n v="5"/>
    <x v="0"/>
    <n v="84"/>
    <n v="149"/>
    <n v="43"/>
    <n v="65"/>
    <s v="Good"/>
  </r>
  <r>
    <n v="1199"/>
    <x v="1067"/>
    <x v="1149"/>
    <n v="5"/>
    <s v="elective"/>
    <x v="3"/>
    <x v="0"/>
    <n v="65"/>
    <n v="3.35"/>
    <n v="1.82"/>
    <x v="0"/>
    <n v="112"/>
    <n v="164"/>
    <n v="64"/>
    <n v="48"/>
    <s v="Moderate"/>
  </r>
  <r>
    <n v="1200"/>
    <x v="1068"/>
    <x v="1150"/>
    <n v="4"/>
    <s v="urgent"/>
    <x v="4"/>
    <x v="7"/>
    <n v="56"/>
    <n v="0.88"/>
    <n v="0.69"/>
    <x v="0"/>
    <n v="100"/>
    <n v="177"/>
    <n v="90"/>
    <n v="40"/>
    <s v="Moderate"/>
  </r>
  <r>
    <n v="1201"/>
    <x v="1069"/>
    <x v="1151"/>
    <n v="6"/>
    <s v="urgent"/>
    <x v="2"/>
    <x v="15"/>
    <n v="63"/>
    <n v="1.73"/>
    <n v="1.37"/>
    <x v="0"/>
    <n v="104"/>
    <n v="177"/>
    <n v="123"/>
    <n v="40"/>
    <s v="Moderate"/>
  </r>
  <r>
    <n v="1202"/>
    <x v="1067"/>
    <x v="1152"/>
    <n v="1"/>
    <s v="elective"/>
    <x v="4"/>
    <x v="16"/>
    <n v="80"/>
    <n v="36.659999999999997"/>
    <n v="13.72"/>
    <x v="0"/>
    <n v="83"/>
    <n v="165"/>
    <n v="95"/>
    <n v="33"/>
    <s v="Moderate"/>
  </r>
  <r>
    <n v="1203"/>
    <x v="1070"/>
    <x v="1153"/>
    <n v="5"/>
    <s v="elective"/>
    <x v="2"/>
    <x v="0"/>
    <n v="76"/>
    <n v="2.69"/>
    <n v="1.06"/>
    <x v="0"/>
    <n v="68"/>
    <n v="179"/>
    <n v="74"/>
    <n v="55"/>
    <s v="Good"/>
  </r>
  <r>
    <n v="1204"/>
    <x v="1071"/>
    <x v="1154"/>
    <n v="4"/>
    <s v="elective"/>
    <x v="0"/>
    <x v="6"/>
    <n v="81"/>
    <n v="8.44"/>
    <n v="1.43"/>
    <x v="0"/>
    <n v="80"/>
    <n v="156"/>
    <n v="61"/>
    <n v="35"/>
    <s v="Moderate"/>
  </r>
  <r>
    <n v="1205"/>
    <x v="1072"/>
    <x v="1155"/>
    <n v="5"/>
    <s v="elective"/>
    <x v="0"/>
    <x v="6"/>
    <n v="77"/>
    <n v="4.83"/>
    <n v="1.22"/>
    <x v="0"/>
    <n v="89"/>
    <n v="173"/>
    <n v="94"/>
    <n v="54"/>
    <s v="Good"/>
  </r>
  <r>
    <n v="1206"/>
    <x v="1073"/>
    <x v="1156"/>
    <n v="1"/>
    <s v="emergency"/>
    <x v="0"/>
    <x v="3"/>
    <n v="69"/>
    <n v="43.08"/>
    <n v="24.58"/>
    <x v="1"/>
    <n v="71"/>
    <n v="162"/>
    <n v="65"/>
    <n v="51"/>
    <s v="Good"/>
  </r>
  <r>
    <n v="1207"/>
    <x v="1074"/>
    <x v="1157"/>
    <n v="4"/>
    <s v="salvage"/>
    <x v="3"/>
    <x v="0"/>
    <n v="76"/>
    <n v="63.72"/>
    <n v="69.67"/>
    <x v="1"/>
    <n v="137"/>
    <n v="167"/>
    <n v="69"/>
    <n v="60"/>
    <s v="Good"/>
  </r>
  <r>
    <n v="1208"/>
    <x v="1075"/>
    <x v="1158"/>
    <n v="3"/>
    <s v="elective"/>
    <x v="3"/>
    <x v="0"/>
    <n v="75"/>
    <n v="5.82"/>
    <n v="2.4700000000000002"/>
    <x v="0"/>
    <n v="89"/>
    <n v="178"/>
    <n v="82"/>
    <n v="40"/>
    <s v="Moderate"/>
  </r>
  <r>
    <n v="1209"/>
    <x v="1076"/>
    <x v="1159"/>
    <n v="6"/>
    <s v="elective"/>
    <x v="4"/>
    <x v="1"/>
    <n v="42"/>
    <n v="4.6500000000000004"/>
    <n v="0.96"/>
    <x v="0"/>
    <n v="107"/>
    <n v="151"/>
    <n v="47"/>
    <n v="60"/>
    <s v="Good"/>
  </r>
  <r>
    <n v="1210"/>
    <x v="1076"/>
    <x v="1160"/>
    <n v="4"/>
    <s v="elective"/>
    <x v="0"/>
    <x v="8"/>
    <n v="48"/>
    <n v="1.51"/>
    <n v="0.5"/>
    <x v="0"/>
    <n v="83"/>
    <n v="165"/>
    <n v="66"/>
    <n v="51"/>
    <s v="Good"/>
  </r>
  <r>
    <n v="1211"/>
    <x v="1077"/>
    <x v="1161"/>
    <n v="5"/>
    <s v="elective"/>
    <x v="0"/>
    <x v="11"/>
    <n v="65"/>
    <n v="2.23"/>
    <n v="0.64"/>
    <x v="0"/>
    <n v="62"/>
    <n v="162"/>
    <n v="106"/>
    <n v="25"/>
    <s v="Poor"/>
  </r>
  <r>
    <n v="1212"/>
    <x v="1078"/>
    <x v="1162"/>
    <n v="5"/>
    <s v="urgent"/>
    <x v="2"/>
    <x v="11"/>
    <n v="68"/>
    <n v="4.08"/>
    <n v="1.9"/>
    <x v="0"/>
    <n v="91"/>
    <n v="173"/>
    <n v="121"/>
    <n v="35"/>
    <s v="Moderate"/>
  </r>
  <r>
    <n v="1213"/>
    <x v="1079"/>
    <x v="1163"/>
    <n v="4"/>
    <s v="urgent"/>
    <x v="2"/>
    <x v="7"/>
    <n v="70"/>
    <n v="1.82"/>
    <n v="1.01"/>
    <x v="0"/>
    <n v="148"/>
    <n v="177"/>
    <n v="94"/>
    <n v="25"/>
    <s v="Poor"/>
  </r>
  <r>
    <n v="1214"/>
    <x v="1080"/>
    <x v="1164"/>
    <n v="3"/>
    <s v="elective"/>
    <x v="2"/>
    <x v="0"/>
    <n v="77"/>
    <n v="4.8499999999999996"/>
    <n v="1.28"/>
    <x v="0"/>
    <n v="97"/>
    <n v="180"/>
    <n v="104"/>
    <n v="29"/>
    <s v="Poor"/>
  </r>
  <r>
    <n v="1215"/>
    <x v="1081"/>
    <x v="1165"/>
    <n v="4"/>
    <s v="urgent"/>
    <x v="2"/>
    <x v="4"/>
    <n v="60"/>
    <n v="0.94"/>
    <n v="0.76"/>
    <x v="0"/>
    <n v="62"/>
    <n v="170"/>
    <n v="75"/>
    <n v="50"/>
    <s v="Moderate"/>
  </r>
  <r>
    <n v="1216"/>
    <x v="1082"/>
    <x v="1165"/>
    <n v="5"/>
    <s v="elective"/>
    <x v="0"/>
    <x v="2"/>
    <n v="76"/>
    <n v="9.1199999999999992"/>
    <n v="3.82"/>
    <x v="0"/>
    <n v="93"/>
    <n v="166"/>
    <n v="84"/>
    <n v="45"/>
    <s v="Moderate"/>
  </r>
  <r>
    <n v="1217"/>
    <x v="1083"/>
    <x v="1166"/>
    <n v="1"/>
    <s v="urgent"/>
    <x v="2"/>
    <x v="8"/>
    <n v="59"/>
    <n v="2.4500000000000002"/>
    <n v="1.29"/>
    <x v="0"/>
    <n v="87"/>
    <n v="179"/>
    <n v="85"/>
    <n v="40"/>
    <s v="Moderate"/>
  </r>
  <r>
    <n v="1218"/>
    <x v="1082"/>
    <x v="1167"/>
    <n v="6"/>
    <s v="elective"/>
    <x v="4"/>
    <x v="3"/>
    <n v="82"/>
    <n v="6.61"/>
    <n v="2.42"/>
    <x v="0"/>
    <n v="107"/>
    <n v="159"/>
    <n v="88"/>
    <n v="55"/>
    <s v="Good"/>
  </r>
  <r>
    <n v="1219"/>
    <x v="1084"/>
    <x v="1168"/>
    <n v="4"/>
    <s v="elective"/>
    <x v="3"/>
    <x v="4"/>
    <n v="65"/>
    <n v="5.85"/>
    <n v="4.47"/>
    <x v="0"/>
    <n v="83"/>
    <n v="164"/>
    <n v="78"/>
    <n v="70"/>
    <s v="Good"/>
  </r>
  <r>
    <n v="1220"/>
    <x v="1085"/>
    <x v="1169"/>
    <n v="1"/>
    <s v="elective"/>
    <x v="3"/>
    <x v="8"/>
    <n v="63"/>
    <n v="1.96"/>
    <n v="1.04"/>
    <x v="0"/>
    <n v="67"/>
    <n v="173"/>
    <n v="102"/>
    <n v="65"/>
    <s v="Good"/>
  </r>
  <r>
    <n v="1221"/>
    <x v="1086"/>
    <x v="1170"/>
    <n v="5"/>
    <s v="urgent"/>
    <x v="0"/>
    <x v="2"/>
    <n v="74"/>
    <n v="8.08"/>
    <n v="2.59"/>
    <x v="0"/>
    <n v="93"/>
    <n v="165"/>
    <n v="89"/>
    <n v="60"/>
    <s v="Good"/>
  </r>
  <r>
    <n v="1222"/>
    <x v="1087"/>
    <x v="1171"/>
    <n v="6"/>
    <s v="elective"/>
    <x v="2"/>
    <x v="3"/>
    <n v="77"/>
    <n v="8.1"/>
    <n v="1.8"/>
    <x v="0"/>
    <n v="72"/>
    <n v="160"/>
    <n v="82"/>
    <n v="65"/>
    <s v="Good"/>
  </r>
  <r>
    <n v="1223"/>
    <x v="1088"/>
    <x v="1172"/>
    <n v="5"/>
    <s v="elective"/>
    <x v="0"/>
    <x v="2"/>
    <n v="72"/>
    <n v="5.24"/>
    <n v="2.4900000000000002"/>
    <x v="0"/>
    <n v="84"/>
    <n v="182"/>
    <n v="82"/>
    <n v="51"/>
    <s v="Good"/>
  </r>
  <r>
    <n v="1224"/>
    <x v="1089"/>
    <x v="1173"/>
    <n v="4"/>
    <s v="elective"/>
    <x v="4"/>
    <x v="1"/>
    <n v="58"/>
    <n v="4.6500000000000004"/>
    <n v="1.64"/>
    <x v="0"/>
    <n v="81"/>
    <n v="155"/>
    <n v="70"/>
    <n v="60"/>
    <s v="Good"/>
  </r>
  <r>
    <n v="1225"/>
    <x v="1090"/>
    <x v="1174"/>
    <n v="1"/>
    <s v="elective"/>
    <x v="0"/>
    <x v="6"/>
    <n v="70"/>
    <n v="3.08"/>
    <n v="0.67"/>
    <x v="0"/>
    <n v="71"/>
    <n v="170"/>
    <n v="83"/>
    <n v="55"/>
    <s v="Good"/>
  </r>
  <r>
    <n v="1226"/>
    <x v="1091"/>
    <x v="1175"/>
    <n v="6"/>
    <s v="urgent"/>
    <x v="2"/>
    <x v="15"/>
    <n v="76"/>
    <n v="2.69"/>
    <n v="1.46"/>
    <x v="0"/>
    <n v="65"/>
    <n v="179"/>
    <n v="81"/>
    <n v="65"/>
    <s v="Good"/>
  </r>
  <r>
    <n v="1227"/>
    <x v="1092"/>
    <x v="1176"/>
    <n v="1"/>
    <s v="elective"/>
    <x v="0"/>
    <x v="6"/>
    <n v="75"/>
    <n v="4.25"/>
    <n v="1.99"/>
    <x v="0"/>
    <n v="69"/>
    <n v="182"/>
    <n v="85"/>
    <n v="55"/>
    <s v="Good"/>
  </r>
  <r>
    <n v="1228"/>
    <x v="1093"/>
    <x v="1177"/>
    <n v="5"/>
    <s v="elective"/>
    <x v="0"/>
    <x v="2"/>
    <n v="73"/>
    <n v="3.74"/>
    <n v="0.73"/>
    <x v="0"/>
    <n v="122"/>
    <n v="170"/>
    <n v="80"/>
    <n v="60"/>
    <s v="Good"/>
  </r>
  <r>
    <n v="1229"/>
    <x v="1094"/>
    <x v="1178"/>
    <n v="4"/>
    <s v="elective"/>
    <x v="0"/>
    <x v="1"/>
    <n v="73"/>
    <n v="3.74"/>
    <n v="0.81"/>
    <x v="0"/>
    <n v="83"/>
    <n v="93"/>
    <n v="185"/>
    <n v="20"/>
    <s v="Very Poor"/>
  </r>
  <r>
    <n v="1230"/>
    <x v="1095"/>
    <x v="1179"/>
    <n v="5"/>
    <s v="elective"/>
    <x v="3"/>
    <x v="11"/>
    <n v="71"/>
    <n v="5.54"/>
    <n v="1.85"/>
    <x v="0"/>
    <n v="95"/>
    <n v="173"/>
    <n v="99"/>
    <n v="55"/>
    <s v="Good"/>
  </r>
  <r>
    <n v="1231"/>
    <x v="1094"/>
    <x v="1180"/>
    <n v="1"/>
    <s v="elective"/>
    <x v="4"/>
    <x v="10"/>
    <n v="52"/>
    <n v="4.6500000000000004"/>
    <n v="2.2000000000000002"/>
    <x v="0"/>
    <n v="120"/>
    <n v="167"/>
    <n v="73"/>
    <n v="60"/>
    <s v="Good"/>
  </r>
  <r>
    <n v="1232"/>
    <x v="1096"/>
    <x v="1181"/>
    <n v="1"/>
    <s v="elective"/>
    <x v="2"/>
    <x v="10"/>
    <n v="73"/>
    <n v="2.21"/>
    <n v="0.97"/>
    <x v="0"/>
    <n v="66"/>
    <n v="177"/>
    <n v="94"/>
    <n v="41"/>
    <s v="Moderate"/>
  </r>
  <r>
    <n v="1233"/>
    <x v="1097"/>
    <x v="1182"/>
    <n v="5"/>
    <s v="urgent"/>
    <x v="2"/>
    <x v="11"/>
    <n v="81"/>
    <n v="7.53"/>
    <n v="3.49"/>
    <x v="0"/>
    <n v="66"/>
    <n v="172"/>
    <n v="92"/>
    <n v="58"/>
    <s v="Good"/>
  </r>
  <r>
    <n v="1234"/>
    <x v="1095"/>
    <x v="1183"/>
    <n v="4"/>
    <s v="elective"/>
    <x v="4"/>
    <x v="1"/>
    <n v="62"/>
    <n v="7.65"/>
    <n v="3.86"/>
    <x v="0"/>
    <n v="100"/>
    <n v="172"/>
    <n v="85"/>
    <n v="60"/>
    <s v="Good"/>
  </r>
  <r>
    <n v="1235"/>
    <x v="1098"/>
    <x v="1184"/>
    <n v="3"/>
    <s v="emergency"/>
    <x v="1"/>
    <x v="6"/>
    <n v="60"/>
    <n v="42.86"/>
    <n v="49.48"/>
    <x v="1"/>
    <n v="73"/>
    <n v="170"/>
    <n v="123"/>
    <n v="45"/>
    <s v="Moderate"/>
  </r>
  <r>
    <n v="1236"/>
    <x v="1099"/>
    <x v="1185"/>
    <n v="1"/>
    <s v="emergency"/>
    <x v="4"/>
    <x v="1"/>
    <n v="78"/>
    <n v="26.07"/>
    <n v="5.35"/>
    <x v="0"/>
    <n v="72"/>
    <n v="170"/>
    <n v="76"/>
    <n v="47"/>
    <s v="Moderate"/>
  </r>
  <r>
    <n v="1237"/>
    <x v="1100"/>
    <x v="1186"/>
    <n v="3"/>
    <s v="urgent"/>
    <x v="2"/>
    <x v="0"/>
    <n v="76"/>
    <n v="4.6399999999999997"/>
    <n v="1.35"/>
    <x v="0"/>
    <n v="100"/>
    <n v="160"/>
    <n v="87"/>
    <n v="55"/>
    <s v="Good"/>
  </r>
  <r>
    <n v="1238"/>
    <x v="1100"/>
    <x v="1187"/>
    <n v="4"/>
    <s v="urgent"/>
    <x v="3"/>
    <x v="15"/>
    <n v="76"/>
    <n v="16.940000000000001"/>
    <n v="7.94"/>
    <x v="0"/>
    <n v="117"/>
    <n v="180"/>
    <n v="98"/>
    <n v="47"/>
    <s v="Moderate"/>
  </r>
  <r>
    <n v="1239"/>
    <x v="1101"/>
    <x v="1188"/>
    <n v="5"/>
    <s v="elective"/>
    <x v="0"/>
    <x v="8"/>
    <n v="34"/>
    <n v="2.08"/>
    <n v="0.62"/>
    <x v="0"/>
    <n v="69"/>
    <n v="172"/>
    <n v="79"/>
    <n v="42"/>
    <s v="Moderate"/>
  </r>
  <r>
    <n v="1240"/>
    <x v="1102"/>
    <x v="1189"/>
    <n v="5"/>
    <s v="elective"/>
    <x v="0"/>
    <x v="8"/>
    <n v="88"/>
    <n v="9.5500000000000007"/>
    <n v="3.43"/>
    <x v="0"/>
    <n v="89"/>
    <n v="180"/>
    <n v="80"/>
    <n v="60"/>
    <s v="Good"/>
  </r>
  <r>
    <n v="1241"/>
    <x v="1103"/>
    <x v="1190"/>
    <n v="1"/>
    <s v="elective"/>
    <x v="3"/>
    <x v="6"/>
    <n v="74"/>
    <n v="6.37"/>
    <n v="1.71"/>
    <x v="0"/>
    <n v="81"/>
    <n v="166"/>
    <n v="75"/>
    <n v="45"/>
    <s v="Moderate"/>
  </r>
  <r>
    <n v="1242"/>
    <x v="1104"/>
    <x v="1191"/>
    <n v="5"/>
    <s v="elective"/>
    <x v="3"/>
    <x v="11"/>
    <n v="77"/>
    <n v="19.57"/>
    <n v="5.69"/>
    <x v="0"/>
    <n v="89"/>
    <n v="168"/>
    <n v="78"/>
    <n v="45"/>
    <s v="Moderate"/>
  </r>
  <r>
    <n v="1243"/>
    <x v="1105"/>
    <x v="1192"/>
    <n v="6"/>
    <s v="elective"/>
    <x v="4"/>
    <x v="1"/>
    <n v="73"/>
    <n v="11.02"/>
    <n v="2.37"/>
    <x v="0"/>
    <n v="87"/>
    <n v="166"/>
    <n v="79"/>
    <n v="60"/>
    <s v="Good"/>
  </r>
  <r>
    <n v="1244"/>
    <x v="1106"/>
    <x v="1193"/>
    <n v="5"/>
    <s v="elective"/>
    <x v="0"/>
    <x v="16"/>
    <n v="79"/>
    <n v="33.74"/>
    <n v="17.02"/>
    <x v="1"/>
    <n v="63"/>
    <n v="173"/>
    <n v="73"/>
    <n v="87"/>
    <s v="Good"/>
  </r>
  <r>
    <n v="1245"/>
    <x v="1107"/>
    <x v="1194"/>
    <n v="1"/>
    <s v="elective"/>
    <x v="2"/>
    <x v="3"/>
    <n v="71"/>
    <n v="2.92"/>
    <n v="1.4"/>
    <x v="0"/>
    <n v="107"/>
    <n v="179"/>
    <n v="111"/>
    <n v="55"/>
    <s v="Good"/>
  </r>
  <r>
    <n v="1246"/>
    <x v="1108"/>
    <x v="1195"/>
    <n v="5"/>
    <s v="elective"/>
    <x v="3"/>
    <x v="2"/>
    <n v="77"/>
    <n v="8.9"/>
    <n v="8.35"/>
    <x v="0"/>
    <n v="103"/>
    <n v="180"/>
    <n v="96"/>
    <n v="60"/>
    <s v="Good"/>
  </r>
  <r>
    <n v="1247"/>
    <x v="1109"/>
    <x v="1196"/>
    <n v="4"/>
    <s v="urgent"/>
    <x v="3"/>
    <x v="4"/>
    <n v="62"/>
    <n v="4.84"/>
    <n v="10.3"/>
    <x v="0"/>
    <n v="91"/>
    <n v="149"/>
    <n v="48"/>
    <n v="55"/>
    <s v="Good"/>
  </r>
  <r>
    <n v="1248"/>
    <x v="1110"/>
    <x v="1197"/>
    <n v="1"/>
    <s v="urgent"/>
    <x v="2"/>
    <x v="3"/>
    <n v="69"/>
    <n v="9.3800000000000008"/>
    <n v="2.79"/>
    <x v="0"/>
    <n v="82"/>
    <n v="162"/>
    <n v="66"/>
    <n v="50"/>
    <s v="Moderate"/>
  </r>
  <r>
    <n v="1249"/>
    <x v="1111"/>
    <x v="1198"/>
    <n v="5"/>
    <s v="elective"/>
    <x v="0"/>
    <x v="2"/>
    <n v="52"/>
    <n v="1.51"/>
    <n v="0.56000000000000005"/>
    <x v="0"/>
    <n v="113"/>
    <n v="163"/>
    <n v="53"/>
    <n v="60"/>
    <s v="Good"/>
  </r>
  <r>
    <n v="1250"/>
    <x v="1112"/>
    <x v="1199"/>
    <n v="4"/>
    <s v="elective"/>
    <x v="0"/>
    <x v="8"/>
    <n v="76"/>
    <n v="2.69"/>
    <n v="0.78"/>
    <x v="0"/>
    <n v="91"/>
    <n v="177"/>
    <n v="111"/>
    <n v="33"/>
    <s v="Moderate"/>
  </r>
  <r>
    <n v="1251"/>
    <x v="1113"/>
    <x v="1200"/>
    <n v="1"/>
    <s v="elective"/>
    <x v="4"/>
    <x v="16"/>
    <n v="55"/>
    <n v="15.6"/>
    <n v="8.85"/>
    <x v="0"/>
    <n v="93"/>
    <n v="157"/>
    <n v="81"/>
    <n v="55"/>
    <s v="Good"/>
  </r>
  <r>
    <n v="1252"/>
    <x v="1114"/>
    <x v="1201"/>
    <n v="5"/>
    <s v="urgent"/>
    <x v="2"/>
    <x v="2"/>
    <n v="77"/>
    <n v="2.87"/>
    <n v="1.5"/>
    <x v="0"/>
    <n v="73"/>
    <n v="183"/>
    <n v="54"/>
    <n v="60"/>
    <s v="Good"/>
  </r>
  <r>
    <n v="1253"/>
    <x v="1115"/>
    <x v="1202"/>
    <n v="5"/>
    <s v="elective"/>
    <x v="0"/>
    <x v="2"/>
    <n v="69"/>
    <n v="2.89"/>
    <n v="3.19"/>
    <x v="0"/>
    <n v="74"/>
    <n v="174"/>
    <n v="80"/>
    <n v="60"/>
    <s v="Good"/>
  </r>
  <r>
    <n v="1254"/>
    <x v="1116"/>
    <x v="1203"/>
    <n v="4"/>
    <s v="elective"/>
    <x v="0"/>
    <x v="8"/>
    <n v="77"/>
    <n v="2.87"/>
    <n v="0.9"/>
    <x v="0"/>
    <n v="80"/>
    <n v="170"/>
    <n v="96"/>
    <n v="60"/>
    <s v="Good"/>
  </r>
  <r>
    <n v="1255"/>
    <x v="1117"/>
    <x v="1204"/>
    <n v="1"/>
    <s v="elective"/>
    <x v="0"/>
    <x v="1"/>
    <n v="53"/>
    <n v="1.43"/>
    <n v="0.81"/>
    <x v="0"/>
    <n v="119"/>
    <n v="181"/>
    <n v="82"/>
    <n v="55"/>
    <s v="Good"/>
  </r>
  <r>
    <n v="1256"/>
    <x v="1118"/>
    <x v="1204"/>
    <n v="4"/>
    <s v="urgent"/>
    <x v="2"/>
    <x v="7"/>
    <n v="80"/>
    <n v="5.85"/>
    <n v="1.38"/>
    <x v="0"/>
    <n v="65"/>
    <n v="151"/>
    <n v="53"/>
    <n v="65"/>
    <s v="Good"/>
  </r>
  <r>
    <n v="1257"/>
    <x v="1119"/>
    <x v="1205"/>
    <n v="3"/>
    <s v="elective"/>
    <x v="0"/>
    <x v="6"/>
    <n v="74"/>
    <n v="12.58"/>
    <n v="2.2799999999999998"/>
    <x v="0"/>
    <n v="90"/>
    <n v="174"/>
    <n v="80"/>
    <n v="29"/>
    <s v="Poor"/>
  </r>
  <r>
    <n v="1258"/>
    <x v="1120"/>
    <x v="1206"/>
    <n v="5"/>
    <s v="urgent"/>
    <x v="2"/>
    <x v="11"/>
    <n v="70"/>
    <n v="4.26"/>
    <n v="1.98"/>
    <x v="0"/>
    <n v="80"/>
    <n v="166"/>
    <n v="70"/>
    <n v="68"/>
    <s v="Good"/>
  </r>
  <r>
    <n v="1259"/>
    <x v="1121"/>
    <x v="1207"/>
    <n v="1"/>
    <s v="elective"/>
    <x v="2"/>
    <x v="1"/>
    <n v="62"/>
    <n v="1.07"/>
    <n v="0.59"/>
    <x v="0"/>
    <n v="77"/>
    <n v="160"/>
    <n v="64"/>
    <n v="35"/>
    <s v="Moderate"/>
  </r>
  <r>
    <n v="1260"/>
    <x v="1122"/>
    <x v="1208"/>
    <n v="5"/>
    <s v="elective"/>
    <x v="3"/>
    <x v="8"/>
    <n v="78"/>
    <n v="3.06"/>
    <n v="1.31"/>
    <x v="0"/>
    <n v="82"/>
    <n v="160"/>
    <n v="87"/>
    <n v="49"/>
    <s v="Moderate"/>
  </r>
  <r>
    <n v="1261"/>
    <x v="1123"/>
    <x v="1209"/>
    <n v="1"/>
    <s v="elective"/>
    <x v="2"/>
    <x v="16"/>
    <n v="65"/>
    <n v="3.2"/>
    <n v="1.28"/>
    <x v="0"/>
    <n v="79"/>
    <n v="153"/>
    <n v="59"/>
    <n v="43"/>
    <s v="Moderate"/>
  </r>
  <r>
    <n v="1262"/>
    <x v="1124"/>
    <x v="1210"/>
    <n v="3"/>
    <s v="urgent"/>
    <x v="2"/>
    <x v="13"/>
    <n v="41"/>
    <n v="1.51"/>
    <n v="0.89"/>
    <x v="0"/>
    <n v="87"/>
    <n v="169"/>
    <n v="75"/>
    <n v="44"/>
    <s v="Moderate"/>
  </r>
  <r>
    <n v="1263"/>
    <x v="1125"/>
    <x v="1211"/>
    <n v="6"/>
    <s v="elective"/>
    <x v="2"/>
    <x v="7"/>
    <n v="69"/>
    <n v="3.23"/>
    <n v="1.22"/>
    <x v="0"/>
    <n v="87"/>
    <n v="170"/>
    <n v="88"/>
    <n v="66"/>
    <s v="Good"/>
  </r>
  <r>
    <n v="1264"/>
    <x v="1126"/>
    <x v="1212"/>
    <n v="3"/>
    <s v="urgent"/>
    <x v="2"/>
    <x v="13"/>
    <n v="73"/>
    <n v="5.6"/>
    <n v="1.58"/>
    <x v="0"/>
    <n v="105"/>
    <n v="176"/>
    <n v="70"/>
    <n v="66"/>
    <s v="Good"/>
  </r>
  <r>
    <n v="1265"/>
    <x v="1127"/>
    <x v="1213"/>
    <n v="1"/>
    <s v="elective"/>
    <x v="2"/>
    <x v="16"/>
    <n v="62"/>
    <n v="1.07"/>
    <n v="0.71"/>
    <x v="0"/>
    <n v="68"/>
    <n v="160"/>
    <n v="80"/>
    <n v="52"/>
    <s v="Good"/>
  </r>
  <r>
    <n v="1266"/>
    <x v="1128"/>
    <x v="1214"/>
    <n v="5"/>
    <s v="elective"/>
    <x v="0"/>
    <x v="8"/>
    <n v="67"/>
    <n v="2.06"/>
    <n v="1.37"/>
    <x v="0"/>
    <n v="85"/>
    <n v="185"/>
    <n v="109"/>
    <n v="49"/>
    <s v="Moderate"/>
  </r>
  <r>
    <n v="1267"/>
    <x v="1129"/>
    <x v="1215"/>
    <n v="4"/>
    <s v="elective"/>
    <x v="4"/>
    <x v="16"/>
    <n v="54"/>
    <n v="6.35"/>
    <n v="2.27"/>
    <x v="0"/>
    <n v="76"/>
    <n v="171"/>
    <n v="72"/>
    <n v="60"/>
    <s v="Good"/>
  </r>
  <r>
    <n v="1268"/>
    <x v="1130"/>
    <x v="1216"/>
    <n v="5"/>
    <s v="elective"/>
    <x v="2"/>
    <x v="10"/>
    <n v="77"/>
    <n v="2.87"/>
    <n v="0.81"/>
    <x v="0"/>
    <n v="69"/>
    <n v="167"/>
    <n v="74"/>
    <n v="15"/>
    <s v="Very Poor"/>
  </r>
  <r>
    <n v="1269"/>
    <x v="1131"/>
    <x v="1217"/>
    <n v="4"/>
    <s v="elective"/>
    <x v="4"/>
    <x v="1"/>
    <n v="75"/>
    <n v="18.82"/>
    <n v="7.91"/>
    <x v="0"/>
    <n v="63"/>
    <n v="165"/>
    <n v="75"/>
    <n v="55"/>
    <s v="Good"/>
  </r>
  <r>
    <n v="1270"/>
    <x v="1132"/>
    <x v="1218"/>
    <n v="5"/>
    <s v="elective"/>
    <x v="2"/>
    <x v="11"/>
    <n v="49"/>
    <n v="2.2799999999999998"/>
    <n v="0.89"/>
    <x v="0"/>
    <n v="75"/>
    <n v="184"/>
    <n v="88"/>
    <n v="40"/>
    <s v="Moderate"/>
  </r>
  <r>
    <n v="1271"/>
    <x v="1133"/>
    <x v="1219"/>
    <n v="1"/>
    <s v="urgent"/>
    <x v="3"/>
    <x v="6"/>
    <n v="85"/>
    <n v="55.81"/>
    <n v="20.329999999999998"/>
    <x v="0"/>
    <n v="181"/>
    <n v="166"/>
    <n v="83"/>
    <n v="60"/>
    <s v="Good"/>
  </r>
  <r>
    <n v="1272"/>
    <x v="1134"/>
    <x v="1220"/>
    <n v="4"/>
    <s v="elective"/>
    <x v="2"/>
    <x v="1"/>
    <n v="72"/>
    <n v="5.64"/>
    <n v="1.33"/>
    <x v="0"/>
    <n v="65"/>
    <n v="165"/>
    <n v="80"/>
    <n v="55"/>
    <s v="Good"/>
  </r>
  <r>
    <n v="1273"/>
    <x v="1135"/>
    <x v="1221"/>
    <n v="1"/>
    <s v="elective"/>
    <x v="0"/>
    <x v="6"/>
    <n v="61"/>
    <n v="1.72"/>
    <n v="0.89"/>
    <x v="0"/>
    <n v="91"/>
    <n v="164"/>
    <n v="76"/>
    <n v="60"/>
    <s v="Good"/>
  </r>
  <r>
    <n v="1274"/>
    <x v="1136"/>
    <x v="1222"/>
    <n v="5"/>
    <s v="urgent"/>
    <x v="0"/>
    <x v="11"/>
    <n v="73"/>
    <n v="5.13"/>
    <n v="1.65"/>
    <x v="0"/>
    <n v="94"/>
    <n v="166"/>
    <n v="67"/>
    <n v="58"/>
    <s v="Good"/>
  </r>
  <r>
    <n v="1275"/>
    <x v="1137"/>
    <x v="1223"/>
    <n v="1"/>
    <s v="elective"/>
    <x v="2"/>
    <x v="8"/>
    <n v="70"/>
    <n v="3.08"/>
    <n v="1.73"/>
    <x v="0"/>
    <n v="80"/>
    <n v="161"/>
    <n v="64"/>
    <n v="40"/>
    <s v="Moderate"/>
  </r>
  <r>
    <n v="1276"/>
    <x v="1138"/>
    <x v="1224"/>
    <n v="4"/>
    <s v="elective"/>
    <x v="1"/>
    <x v="4"/>
    <n v="73"/>
    <n v="10.4"/>
    <n v="9.82"/>
    <x v="0"/>
    <n v="160"/>
    <n v="182"/>
    <n v="90"/>
    <n v="29"/>
    <s v="Poor"/>
  </r>
  <r>
    <n v="1277"/>
    <x v="1139"/>
    <x v="1225"/>
    <n v="5"/>
    <s v="elective"/>
    <x v="0"/>
    <x v="3"/>
    <n v="77"/>
    <n v="13.2"/>
    <n v="2.68"/>
    <x v="0"/>
    <n v="129"/>
    <n v="168"/>
    <n v="89"/>
    <n v="55"/>
    <s v="Good"/>
  </r>
  <r>
    <n v="1278"/>
    <x v="1140"/>
    <x v="1226"/>
    <n v="4"/>
    <s v="elective"/>
    <x v="3"/>
    <x v="4"/>
    <n v="76"/>
    <n v="4.53"/>
    <n v="1.51"/>
    <x v="0"/>
    <n v="106"/>
    <n v="150"/>
    <n v="51"/>
    <n v="40"/>
    <s v="Moderate"/>
  </r>
  <r>
    <n v="1279"/>
    <x v="1141"/>
    <x v="1227"/>
    <n v="1"/>
    <s v="elective"/>
    <x v="0"/>
    <x v="8"/>
    <n v="63"/>
    <n v="2.19"/>
    <n v="1.03"/>
    <x v="0"/>
    <n v="85"/>
    <n v="174"/>
    <n v="74"/>
    <n v="53"/>
    <s v="Good"/>
  </r>
  <r>
    <n v="1280"/>
    <x v="1142"/>
    <x v="1228"/>
    <n v="5"/>
    <s v="urgent"/>
    <x v="0"/>
    <x v="3"/>
    <n v="57"/>
    <n v="1.51"/>
    <n v="2.39"/>
    <x v="0"/>
    <n v="124"/>
    <n v="182"/>
    <n v="132"/>
    <n v="60"/>
    <s v="Good"/>
  </r>
  <r>
    <n v="1281"/>
    <x v="1143"/>
    <x v="1229"/>
    <n v="5"/>
    <s v="urgent"/>
    <x v="2"/>
    <x v="2"/>
    <n v="80"/>
    <n v="9.89"/>
    <n v="5.36"/>
    <x v="0"/>
    <n v="73"/>
    <n v="175"/>
    <n v="93"/>
    <n v="60"/>
    <s v="Good"/>
  </r>
  <r>
    <n v="1282"/>
    <x v="1144"/>
    <x v="1230"/>
    <n v="1"/>
    <s v="elective"/>
    <x v="0"/>
    <x v="8"/>
    <n v="66"/>
    <n v="5.26"/>
    <n v="2.79"/>
    <x v="0"/>
    <n v="64"/>
    <n v="167"/>
    <n v="92"/>
    <n v="60"/>
    <s v="Good"/>
  </r>
  <r>
    <n v="1283"/>
    <x v="1145"/>
    <x v="1231"/>
    <n v="5"/>
    <s v="elective"/>
    <x v="0"/>
    <x v="2"/>
    <n v="65"/>
    <n v="2.23"/>
    <n v="1.05"/>
    <x v="0"/>
    <n v="71"/>
    <n v="160"/>
    <n v="55"/>
    <n v="63"/>
    <s v="Good"/>
  </r>
  <r>
    <n v="1284"/>
    <x v="1146"/>
    <x v="1232"/>
    <n v="1"/>
    <s v="elective"/>
    <x v="3"/>
    <x v="10"/>
    <n v="72"/>
    <n v="3.51"/>
    <n v="1.81"/>
    <x v="0"/>
    <n v="102"/>
    <n v="170"/>
    <n v="112"/>
    <n v="55"/>
    <s v="Good"/>
  </r>
  <r>
    <n v="1285"/>
    <x v="1147"/>
    <x v="1233"/>
    <n v="5"/>
    <s v="elective"/>
    <x v="0"/>
    <x v="1"/>
    <n v="56"/>
    <n v="1.51"/>
    <n v="0.56000000000000005"/>
    <x v="0"/>
    <n v="90"/>
    <n v="167"/>
    <n v="98"/>
    <n v="55"/>
    <s v="Good"/>
  </r>
  <r>
    <n v="1286"/>
    <x v="1148"/>
    <x v="1234"/>
    <n v="4"/>
    <s v="urgent"/>
    <x v="2"/>
    <x v="7"/>
    <n v="76"/>
    <n v="3.7"/>
    <n v="1.81"/>
    <x v="0"/>
    <n v="101"/>
    <n v="174"/>
    <n v="81"/>
    <n v="70"/>
    <s v="Good"/>
  </r>
  <r>
    <n v="1287"/>
    <x v="1149"/>
    <x v="1235"/>
    <n v="4"/>
    <s v="urgent"/>
    <x v="0"/>
    <x v="7"/>
    <n v="56"/>
    <n v="1.51"/>
    <n v="1.31"/>
    <x v="0"/>
    <n v="86"/>
    <n v="177"/>
    <n v="92"/>
    <n v="60"/>
    <s v="Good"/>
  </r>
  <r>
    <n v="1288"/>
    <x v="1150"/>
    <x v="1236"/>
    <n v="5"/>
    <s v="elective"/>
    <x v="2"/>
    <x v="1"/>
    <n v="70"/>
    <n v="1.82"/>
    <n v="0.66"/>
    <x v="0"/>
    <n v="84"/>
    <n v="172"/>
    <n v="85"/>
    <n v="70"/>
    <s v="Good"/>
  </r>
  <r>
    <n v="1289"/>
    <x v="1151"/>
    <x v="1237"/>
    <n v="1"/>
    <s v="emergency"/>
    <x v="0"/>
    <x v="1"/>
    <n v="53"/>
    <n v="11.54"/>
    <n v="2.2999999999999998"/>
    <x v="0"/>
    <n v="124"/>
    <n v="179"/>
    <n v="93"/>
    <n v="40"/>
    <s v="Moderate"/>
  </r>
  <r>
    <n v="1290"/>
    <x v="1152"/>
    <x v="1238"/>
    <n v="5"/>
    <s v="urgent"/>
    <x v="2"/>
    <x v="15"/>
    <n v="65"/>
    <n v="2.4900000000000002"/>
    <n v="1.8"/>
    <x v="0"/>
    <n v="67"/>
    <n v="174"/>
    <n v="85"/>
    <n v="54"/>
    <s v="Good"/>
  </r>
  <r>
    <n v="1291"/>
    <x v="1153"/>
    <x v="1239"/>
    <n v="3"/>
    <s v="urgent"/>
    <x v="2"/>
    <x v="0"/>
    <n v="70"/>
    <n v="1.82"/>
    <n v="1.22"/>
    <x v="0"/>
    <n v="83"/>
    <n v="174"/>
    <n v="72"/>
    <n v="24"/>
    <s v="Poor"/>
  </r>
  <r>
    <n v="1292"/>
    <x v="1154"/>
    <x v="1240"/>
    <n v="1"/>
    <s v="elective"/>
    <x v="3"/>
    <x v="8"/>
    <n v="84"/>
    <n v="11.69"/>
    <n v="5.46"/>
    <x v="0"/>
    <n v="90"/>
    <n v="178"/>
    <n v="80"/>
    <n v="55"/>
    <s v="Good"/>
  </r>
  <r>
    <n v="1293"/>
    <x v="1155"/>
    <x v="1241"/>
    <n v="4"/>
    <s v="urgent"/>
    <x v="2"/>
    <x v="7"/>
    <n v="66"/>
    <n v="1.93"/>
    <n v="0.74"/>
    <x v="0"/>
    <n v="76"/>
    <n v="160"/>
    <n v="67"/>
    <n v="34"/>
    <s v="Moderate"/>
  </r>
  <r>
    <n v="1294"/>
    <x v="1156"/>
    <x v="1242"/>
    <n v="3"/>
    <s v="elective"/>
    <x v="3"/>
    <x v="0"/>
    <n v="73"/>
    <n v="3.74"/>
    <n v="1.38"/>
    <x v="0"/>
    <n v="83"/>
    <n v="175"/>
    <n v="73"/>
    <n v="55"/>
    <s v="Good"/>
  </r>
  <r>
    <n v="1295"/>
    <x v="1157"/>
    <x v="1243"/>
    <n v="4"/>
    <s v="elective"/>
    <x v="0"/>
    <x v="7"/>
    <n v="68"/>
    <n v="2.71"/>
    <n v="0.63"/>
    <x v="0"/>
    <n v="86"/>
    <n v="168"/>
    <n v="80"/>
    <n v="41"/>
    <s v="Moderate"/>
  </r>
  <r>
    <n v="1296"/>
    <x v="1158"/>
    <x v="1244"/>
    <n v="1"/>
    <s v="elective"/>
    <x v="0"/>
    <x v="8"/>
    <n v="67"/>
    <n v="3.5"/>
    <n v="2.19"/>
    <x v="0"/>
    <n v="70"/>
    <n v="165"/>
    <n v="66"/>
    <n v="55"/>
    <s v="Good"/>
  </r>
  <r>
    <n v="1297"/>
    <x v="1159"/>
    <x v="1245"/>
    <n v="5"/>
    <s v="elective"/>
    <x v="2"/>
    <x v="15"/>
    <n v="64"/>
    <n v="3"/>
    <n v="1.76"/>
    <x v="0"/>
    <n v="96"/>
    <n v="184"/>
    <n v="73"/>
    <n v="29"/>
    <s v="Poor"/>
  </r>
  <r>
    <n v="1298"/>
    <x v="1160"/>
    <x v="1246"/>
    <n v="5"/>
    <s v="elective"/>
    <x v="2"/>
    <x v="4"/>
    <n v="52"/>
    <n v="0.88"/>
    <n v="0.56000000000000005"/>
    <x v="0"/>
    <n v="86"/>
    <n v="174"/>
    <n v="89"/>
    <n v="45"/>
    <s v="Moderate"/>
  </r>
  <r>
    <n v="1299"/>
    <x v="1161"/>
    <x v="1246"/>
    <n v="4"/>
    <s v="elective"/>
    <x v="0"/>
    <x v="8"/>
    <n v="71"/>
    <n v="21.8"/>
    <n v="6.34"/>
    <x v="0"/>
    <n v="100"/>
    <n v="165"/>
    <n v="49"/>
    <n v="25"/>
    <s v="Poor"/>
  </r>
  <r>
    <n v="1300"/>
    <x v="1162"/>
    <x v="1247"/>
    <n v="5"/>
    <s v="elective"/>
    <x v="3"/>
    <x v="4"/>
    <n v="88"/>
    <n v="13.83"/>
    <n v="2.87"/>
    <x v="0"/>
    <n v="84"/>
    <n v="174"/>
    <n v="92"/>
    <n v="50"/>
    <s v="Moderate"/>
  </r>
  <r>
    <n v="1302"/>
    <x v="1163"/>
    <x v="1248"/>
    <n v="3"/>
    <s v="elective"/>
    <x v="0"/>
    <x v="0"/>
    <n v="74"/>
    <n v="3.25"/>
    <n v="1.24"/>
    <x v="0"/>
    <n v="78"/>
    <n v="183"/>
    <n v="121"/>
    <n v="72"/>
    <s v="Good"/>
  </r>
  <r>
    <n v="1303"/>
    <x v="1164"/>
    <x v="1249"/>
    <n v="1"/>
    <s v="elective"/>
    <x v="2"/>
    <x v="4"/>
    <n v="65"/>
    <n v="1.31"/>
    <n v="0.64"/>
    <x v="0"/>
    <n v="77"/>
    <n v="169"/>
    <n v="97"/>
    <n v="45"/>
    <s v="Moderate"/>
  </r>
  <r>
    <n v="1304"/>
    <x v="1163"/>
    <x v="1250"/>
    <n v="4"/>
    <s v="elective"/>
    <x v="4"/>
    <x v="1"/>
    <n v="79"/>
    <n v="15.6"/>
    <n v="1.64"/>
    <x v="0"/>
    <n v="84"/>
    <n v="159"/>
    <n v="80"/>
    <n v="60"/>
    <s v="Good"/>
  </r>
  <r>
    <n v="1305"/>
    <x v="1165"/>
    <x v="1251"/>
    <n v="5"/>
    <s v="urgent"/>
    <x v="2"/>
    <x v="11"/>
    <n v="51"/>
    <n v="6.32"/>
    <n v="1.76"/>
    <x v="0"/>
    <n v="95"/>
    <n v="162"/>
    <n v="76"/>
    <n v="45"/>
    <s v="Moderate"/>
  </r>
  <r>
    <n v="1306"/>
    <x v="1166"/>
    <x v="1252"/>
    <n v="3"/>
    <s v="elective"/>
    <x v="2"/>
    <x v="0"/>
    <n v="65"/>
    <n v="3.36"/>
    <n v="0.92"/>
    <x v="0"/>
    <n v="90"/>
    <n v="152"/>
    <n v="65"/>
    <n v="55"/>
    <s v="Good"/>
  </r>
  <r>
    <n v="1307"/>
    <x v="1167"/>
    <x v="1253"/>
    <n v="1"/>
    <s v="urgent"/>
    <x v="2"/>
    <x v="4"/>
    <n v="74"/>
    <n v="5.96"/>
    <n v="1.8"/>
    <x v="0"/>
    <n v="95"/>
    <n v="166"/>
    <n v="78"/>
    <n v="20"/>
    <s v="Very Poor"/>
  </r>
  <r>
    <n v="1308"/>
    <x v="1168"/>
    <x v="1254"/>
    <n v="5"/>
    <s v="elective"/>
    <x v="0"/>
    <x v="2"/>
    <n v="45"/>
    <n v="1.51"/>
    <n v="0.67"/>
    <x v="0"/>
    <n v="109"/>
    <n v="156"/>
    <n v="71"/>
    <n v="40"/>
    <s v="Moderate"/>
  </r>
  <r>
    <n v="1309"/>
    <x v="1169"/>
    <x v="1255"/>
    <n v="4"/>
    <s v="elective"/>
    <x v="3"/>
    <x v="6"/>
    <n v="73"/>
    <n v="5.13"/>
    <n v="4.17"/>
    <x v="0"/>
    <n v="86"/>
    <n v="178"/>
    <n v="64"/>
    <n v="20"/>
    <s v="Very Poor"/>
  </r>
  <r>
    <n v="1310"/>
    <x v="1168"/>
    <x v="1256"/>
    <n v="1"/>
    <s v="urgent"/>
    <x v="3"/>
    <x v="8"/>
    <n v="78"/>
    <n v="5.14"/>
    <n v="2.78"/>
    <x v="0"/>
    <n v="75"/>
    <n v="182"/>
    <n v="56"/>
    <n v="55"/>
    <s v="Good"/>
  </r>
  <r>
    <n v="1311"/>
    <x v="1170"/>
    <x v="1257"/>
    <n v="5"/>
    <s v="elective"/>
    <x v="0"/>
    <x v="2"/>
    <n v="77"/>
    <n v="4.83"/>
    <n v="2.81"/>
    <x v="0"/>
    <n v="77"/>
    <n v="168"/>
    <n v="81"/>
    <n v="51"/>
    <s v="Good"/>
  </r>
  <r>
    <n v="1312"/>
    <x v="1171"/>
    <x v="1258"/>
    <n v="3"/>
    <s v="urgent"/>
    <x v="2"/>
    <x v="0"/>
    <n v="65"/>
    <n v="2.2400000000000002"/>
    <n v="1.24"/>
    <x v="0"/>
    <n v="65"/>
    <n v="178"/>
    <n v="80"/>
    <n v="55"/>
    <s v="Good"/>
  </r>
  <r>
    <n v="1313"/>
    <x v="1172"/>
    <x v="1258"/>
    <n v="4"/>
    <s v="elective"/>
    <x v="0"/>
    <x v="8"/>
    <n v="78"/>
    <n v="11.89"/>
    <n v="9.7899999999999991"/>
    <x v="0"/>
    <n v="75"/>
    <n v="171"/>
    <n v="75"/>
    <n v="25"/>
    <s v="Poor"/>
  </r>
  <r>
    <n v="1314"/>
    <x v="1173"/>
    <x v="1259"/>
    <n v="5"/>
    <s v="elective"/>
    <x v="4"/>
    <x v="2"/>
    <n v="66"/>
    <n v="18.55"/>
    <n v="7.3"/>
    <x v="0"/>
    <n v="65"/>
    <n v="187"/>
    <n v="112"/>
    <n v="55"/>
    <s v="Good"/>
  </r>
  <r>
    <n v="1315"/>
    <x v="1174"/>
    <x v="1260"/>
    <n v="3"/>
    <s v="elective"/>
    <x v="2"/>
    <x v="0"/>
    <n v="71"/>
    <n v="1.94"/>
    <n v="0.92"/>
    <x v="0"/>
    <n v="93"/>
    <n v="160"/>
    <n v="94"/>
    <n v="60"/>
    <s v="Good"/>
  </r>
  <r>
    <n v="1316"/>
    <x v="1175"/>
    <x v="1261"/>
    <n v="5"/>
    <s v="urgent"/>
    <x v="2"/>
    <x v="11"/>
    <n v="65"/>
    <n v="3.36"/>
    <n v="2.71"/>
    <x v="0"/>
    <n v="62"/>
    <n v="170"/>
    <n v="60"/>
    <n v="56"/>
    <s v="Good"/>
  </r>
  <r>
    <n v="1317"/>
    <x v="1176"/>
    <x v="1262"/>
    <n v="1"/>
    <s v="elective"/>
    <x v="2"/>
    <x v="1"/>
    <n v="59"/>
    <n v="2.73"/>
    <n v="1.38"/>
    <x v="0"/>
    <n v="112"/>
    <n v="173"/>
    <n v="92"/>
    <n v="55"/>
    <s v="Good"/>
  </r>
  <r>
    <n v="1318"/>
    <x v="1177"/>
    <x v="1263"/>
    <n v="3"/>
    <s v="emergency"/>
    <x v="1"/>
    <x v="6"/>
    <n v="55"/>
    <n v="18.79"/>
    <n v="19.27"/>
    <x v="1"/>
    <n v="81"/>
    <n v="158"/>
    <n v="67"/>
    <n v="20"/>
    <s v="Very Poor"/>
  </r>
  <r>
    <n v="1319"/>
    <x v="1178"/>
    <x v="1264"/>
    <n v="1"/>
    <s v="elective"/>
    <x v="0"/>
    <x v="1"/>
    <n v="79"/>
    <n v="5.48"/>
    <n v="0.96"/>
    <x v="0"/>
    <n v="81"/>
    <n v="176"/>
    <n v="97"/>
    <n v="60"/>
    <s v="Good"/>
  </r>
  <r>
    <n v="1320"/>
    <x v="1179"/>
    <x v="1265"/>
    <n v="5"/>
    <s v="elective"/>
    <x v="0"/>
    <x v="15"/>
    <n v="79"/>
    <n v="5.48"/>
    <n v="1.55"/>
    <x v="0"/>
    <n v="110"/>
    <n v="178"/>
    <n v="122"/>
    <n v="55"/>
    <s v="Good"/>
  </r>
  <r>
    <n v="1321"/>
    <x v="1180"/>
    <x v="1266"/>
    <n v="4"/>
    <s v="elective"/>
    <x v="2"/>
    <x v="16"/>
    <n v="78"/>
    <n v="4.58"/>
    <n v="1.54"/>
    <x v="0"/>
    <n v="78"/>
    <n v="150"/>
    <n v="87"/>
    <n v="59"/>
    <s v="Good"/>
  </r>
  <r>
    <n v="1322"/>
    <x v="1176"/>
    <x v="1267"/>
    <n v="1"/>
    <s v="emergency"/>
    <x v="2"/>
    <x v="15"/>
    <n v="70"/>
    <n v="10.31"/>
    <n v="2.58"/>
    <x v="0"/>
    <n v="64"/>
    <n v="168"/>
    <n v="69"/>
    <n v="45"/>
    <s v="Moderate"/>
  </r>
  <r>
    <n v="1323"/>
    <x v="1181"/>
    <x v="1268"/>
    <n v="4"/>
    <s v="elective"/>
    <x v="0"/>
    <x v="11"/>
    <n v="65"/>
    <n v="2.23"/>
    <n v="0.64"/>
    <x v="0"/>
    <n v="105"/>
    <n v="168"/>
    <n v="73"/>
    <n v="45"/>
    <s v="Moderate"/>
  </r>
  <r>
    <n v="1324"/>
    <x v="1181"/>
    <x v="1269"/>
    <n v="5"/>
    <s v="elective"/>
    <x v="2"/>
    <x v="6"/>
    <n v="74"/>
    <n v="5.96"/>
    <n v="1.78"/>
    <x v="0"/>
    <n v="109"/>
    <n v="162"/>
    <n v="51"/>
    <n v="60"/>
    <s v="Good"/>
  </r>
  <r>
    <n v="1325"/>
    <x v="1176"/>
    <x v="1270"/>
    <n v="4"/>
    <s v="elective"/>
    <x v="3"/>
    <x v="6"/>
    <n v="83"/>
    <n v="7.03"/>
    <n v="4.4400000000000004"/>
    <x v="0"/>
    <n v="83"/>
    <n v="171"/>
    <n v="75"/>
    <n v="55"/>
    <s v="Good"/>
  </r>
  <r>
    <n v="1326"/>
    <x v="1182"/>
    <x v="1271"/>
    <n v="3"/>
    <s v="elective"/>
    <x v="2"/>
    <x v="15"/>
    <n v="69"/>
    <n v="2.56"/>
    <n v="1.48"/>
    <x v="0"/>
    <n v="74"/>
    <n v="166"/>
    <n v="88"/>
    <n v="65"/>
    <s v="Good"/>
  </r>
  <r>
    <n v="1327"/>
    <x v="1183"/>
    <x v="1272"/>
    <n v="1"/>
    <s v="elective"/>
    <x v="2"/>
    <x v="6"/>
    <n v="75"/>
    <n v="3.78"/>
    <n v="1.42"/>
    <x v="0"/>
    <n v="70"/>
    <n v="167"/>
    <n v="75"/>
    <n v="55"/>
    <s v="Good"/>
  </r>
  <r>
    <n v="1328"/>
    <x v="1184"/>
    <x v="1273"/>
    <n v="4"/>
    <s v="elective"/>
    <x v="4"/>
    <x v="1"/>
    <n v="59"/>
    <n v="4.6500000000000004"/>
    <n v="3.31"/>
    <x v="0"/>
    <n v="74"/>
    <n v="157"/>
    <n v="87"/>
    <n v="40"/>
    <s v="Moderate"/>
  </r>
  <r>
    <n v="1329"/>
    <x v="1185"/>
    <x v="1274"/>
    <n v="1"/>
    <s v="elective"/>
    <x v="3"/>
    <x v="6"/>
    <n v="80"/>
    <n v="10.66"/>
    <n v="5.85"/>
    <x v="0"/>
    <n v="79"/>
    <n v="179"/>
    <n v="85"/>
    <n v="20"/>
    <s v="Very Poor"/>
  </r>
  <r>
    <n v="1330"/>
    <x v="1186"/>
    <x v="1275"/>
    <n v="4"/>
    <s v="urgent"/>
    <x v="3"/>
    <x v="11"/>
    <n v="69"/>
    <n v="3.98"/>
    <n v="3.39"/>
    <x v="0"/>
    <n v="85"/>
    <n v="169"/>
    <n v="124"/>
    <n v="58"/>
    <s v="Good"/>
  </r>
  <r>
    <n v="1331"/>
    <x v="1187"/>
    <x v="1276"/>
    <n v="1"/>
    <s v="elective"/>
    <x v="0"/>
    <x v="8"/>
    <n v="76"/>
    <n v="55.3"/>
    <n v="16.48"/>
    <x v="0"/>
    <n v="75"/>
    <n v="168"/>
    <n v="62"/>
    <n v="55"/>
    <s v="Good"/>
  </r>
  <r>
    <n v="1332"/>
    <x v="1188"/>
    <x v="1277"/>
    <n v="4"/>
    <s v="elective"/>
    <x v="2"/>
    <x v="4"/>
    <n v="53"/>
    <n v="1.85"/>
    <n v="1.62"/>
    <x v="0"/>
    <n v="138"/>
    <n v="161"/>
    <n v="73"/>
    <n v="49"/>
    <s v="Moderate"/>
  </r>
  <r>
    <n v="1333"/>
    <x v="1189"/>
    <x v="1278"/>
    <n v="1"/>
    <s v="elective"/>
    <x v="0"/>
    <x v="4"/>
    <n v="71"/>
    <n v="7.19"/>
    <n v="1.1399999999999999"/>
    <x v="0"/>
    <n v="76"/>
    <n v="152"/>
    <n v="50"/>
    <n v="29"/>
    <s v="Poor"/>
  </r>
  <r>
    <n v="1334"/>
    <x v="1190"/>
    <x v="1279"/>
    <n v="4"/>
    <s v="urgent"/>
    <x v="2"/>
    <x v="7"/>
    <n v="61"/>
    <n v="2.79"/>
    <n v="2.39"/>
    <x v="0"/>
    <n v="66"/>
    <n v="176"/>
    <n v="93"/>
    <n v="25"/>
    <s v="Poor"/>
  </r>
  <r>
    <n v="1335"/>
    <x v="1191"/>
    <x v="1279"/>
    <n v="1"/>
    <s v="urgent"/>
    <x v="0"/>
    <x v="8"/>
    <n v="65"/>
    <n v="2.93"/>
    <n v="1.31"/>
    <x v="0"/>
    <n v="92"/>
    <n v="177"/>
    <n v="91"/>
    <n v="25"/>
    <s v="Poor"/>
  </r>
  <r>
    <n v="1336"/>
    <x v="1192"/>
    <x v="1280"/>
    <n v="1"/>
    <s v="elective"/>
    <x v="0"/>
    <x v="8"/>
    <n v="84"/>
    <n v="10.11"/>
    <n v="3.77"/>
    <x v="0"/>
    <n v="74"/>
    <n v="161"/>
    <n v="68"/>
    <n v="25"/>
    <s v="Poor"/>
  </r>
  <r>
    <n v="1337"/>
    <x v="1192"/>
    <x v="1281"/>
    <n v="5"/>
    <s v="elective"/>
    <x v="3"/>
    <x v="15"/>
    <n v="61"/>
    <n v="2.78"/>
    <n v="1.43"/>
    <x v="0"/>
    <n v="67"/>
    <n v="184"/>
    <n v="92"/>
    <n v="55"/>
    <s v="Good"/>
  </r>
  <r>
    <n v="1338"/>
    <x v="1193"/>
    <x v="1282"/>
    <n v="4"/>
    <s v="urgent"/>
    <x v="3"/>
    <x v="7"/>
    <n v="70"/>
    <n v="16.5"/>
    <n v="12.3"/>
    <x v="0"/>
    <n v="62"/>
    <n v="177"/>
    <n v="99"/>
    <n v="75"/>
    <s v="Good"/>
  </r>
  <r>
    <n v="1339"/>
    <x v="1194"/>
    <x v="1283"/>
    <n v="3"/>
    <s v="elective"/>
    <x v="2"/>
    <x v="1"/>
    <n v="61"/>
    <n v="1.01"/>
    <n v="0.56999999999999995"/>
    <x v="0"/>
    <n v="78"/>
    <n v="169"/>
    <n v="97"/>
    <n v="60"/>
    <s v="Good"/>
  </r>
  <r>
    <n v="1340"/>
    <x v="1195"/>
    <x v="1284"/>
    <n v="1"/>
    <s v="emergency"/>
    <x v="1"/>
    <x v="1"/>
    <n v="57"/>
    <n v="38.89"/>
    <n v="20.91"/>
    <x v="1"/>
    <n v="76"/>
    <n v="178"/>
    <n v="90"/>
    <n v="60"/>
    <s v="Good"/>
  </r>
  <r>
    <n v="1341"/>
    <x v="1196"/>
    <x v="1285"/>
    <n v="1"/>
    <s v="emergency"/>
    <x v="4"/>
    <x v="1"/>
    <n v="60"/>
    <n v="9.61"/>
    <n v="3.27"/>
    <x v="0"/>
    <n v="72"/>
    <n v="162"/>
    <n v="79"/>
    <n v="60"/>
    <s v="Good"/>
  </r>
  <r>
    <n v="1342"/>
    <x v="1197"/>
    <x v="1286"/>
    <n v="2"/>
    <s v="emergency"/>
    <x v="4"/>
    <x v="0"/>
    <n v="78"/>
    <n v="62.7"/>
    <n v="14.22"/>
    <x v="1"/>
    <n v="92"/>
    <n v="146"/>
    <n v="56"/>
    <n v="62"/>
    <s v="Good"/>
  </r>
  <r>
    <n v="1343"/>
    <x v="1198"/>
    <x v="1287"/>
    <n v="1"/>
    <s v="elective"/>
    <x v="0"/>
    <x v="8"/>
    <n v="58"/>
    <n v="3.13"/>
    <n v="2.27"/>
    <x v="0"/>
    <n v="102"/>
    <n v="175"/>
    <n v="86"/>
    <n v="46"/>
    <s v="Moderate"/>
  </r>
  <r>
    <n v="1344"/>
    <x v="1199"/>
    <x v="1288"/>
    <n v="4"/>
    <s v="urgent"/>
    <x v="3"/>
    <x v="4"/>
    <n v="68"/>
    <n v="7.68"/>
    <n v="8.48"/>
    <x v="0"/>
    <n v="126"/>
    <n v="156"/>
    <n v="74"/>
    <n v="45"/>
    <s v="Moderate"/>
  </r>
  <r>
    <n v="1345"/>
    <x v="1199"/>
    <x v="1289"/>
    <n v="1"/>
    <s v="urgent"/>
    <x v="0"/>
    <x v="13"/>
    <n v="54"/>
    <n v="5.97"/>
    <n v="2.54"/>
    <x v="0"/>
    <n v="70"/>
    <n v="170"/>
    <n v="70"/>
    <n v="40"/>
    <s v="Moderate"/>
  </r>
  <r>
    <n v="1346"/>
    <x v="1200"/>
    <x v="1290"/>
    <n v="5"/>
    <s v="emergency"/>
    <x v="4"/>
    <x v="0"/>
    <n v="34"/>
    <n v="9.0399999999999991"/>
    <n v="3.27"/>
    <x v="0"/>
    <n v="80"/>
    <n v="175"/>
    <n v="70"/>
    <n v="37"/>
    <s v="Moderate"/>
  </r>
  <r>
    <n v="1347"/>
    <x v="1201"/>
    <x v="1291"/>
    <n v="4"/>
    <s v="urgent"/>
    <x v="2"/>
    <x v="0"/>
    <n v="67"/>
    <n v="1.49"/>
    <n v="0.84"/>
    <x v="0"/>
    <n v="97"/>
    <n v="159"/>
    <n v="82"/>
    <n v="20"/>
    <s v="Very Poo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FAF0E4-D96F-4F79-B438-E34637C3854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E34" firstHeaderRow="1" firstDataRow="2" firstDataCol="1"/>
  <pivotFields count="16">
    <pivotField showAll="0"/>
    <pivotField numFmtId="22" showAll="0"/>
    <pivotField numFmtId="22" showAll="0"/>
    <pivotField showAll="0"/>
    <pivotField showAll="0"/>
    <pivotField showAll="0">
      <items count="8">
        <item x="4"/>
        <item x="2"/>
        <item x="3"/>
        <item x="1"/>
        <item x="5"/>
        <item x="6"/>
        <item x="0"/>
        <item t="default"/>
      </items>
    </pivotField>
    <pivotField axis="axisRow" showAll="0" sortType="descending">
      <items count="18">
        <item x="5"/>
        <item x="7"/>
        <item x="15"/>
        <item x="9"/>
        <item x="12"/>
        <item x="1"/>
        <item x="8"/>
        <item x="4"/>
        <item x="11"/>
        <item x="2"/>
        <item x="6"/>
        <item x="13"/>
        <item x="10"/>
        <item x="14"/>
        <item x="16"/>
        <item x="0"/>
        <item x="3"/>
        <item t="default"/>
      </items>
      <autoSortScope>
        <pivotArea dataOnly="0" outline="0" fieldPosition="0">
          <references count="2">
            <reference field="4294967294" count="1" selected="0">
              <x v="0"/>
            </reference>
            <reference field="10" count="1" selected="0">
              <x v="1"/>
            </reference>
          </references>
        </pivotArea>
      </autoSortScope>
    </pivotField>
    <pivotField showAll="0"/>
    <pivotField showAll="0"/>
    <pivotField showAll="0"/>
    <pivotField axis="axisCol" dataField="1" showAll="0">
      <items count="4">
        <item x="0"/>
        <item x="1"/>
        <item x="2"/>
        <item t="default"/>
      </items>
    </pivotField>
    <pivotField showAll="0"/>
    <pivotField showAll="0"/>
    <pivotField showAll="0"/>
    <pivotField showAll="0"/>
    <pivotField showAll="0"/>
  </pivotFields>
  <rowFields count="1">
    <field x="6"/>
  </rowFields>
  <rowItems count="18">
    <i>
      <x v="15"/>
    </i>
    <i>
      <x v="9"/>
    </i>
    <i>
      <x v="10"/>
    </i>
    <i>
      <x v="1"/>
    </i>
    <i>
      <x v="4"/>
    </i>
    <i>
      <x v="8"/>
    </i>
    <i>
      <x v="13"/>
    </i>
    <i>
      <x v="5"/>
    </i>
    <i>
      <x v="7"/>
    </i>
    <i>
      <x v="3"/>
    </i>
    <i>
      <x v="16"/>
    </i>
    <i>
      <x v="6"/>
    </i>
    <i>
      <x v="2"/>
    </i>
    <i>
      <x v="14"/>
    </i>
    <i>
      <x v="12"/>
    </i>
    <i>
      <x/>
    </i>
    <i>
      <x v="11"/>
    </i>
    <i t="grand">
      <x/>
    </i>
  </rowItems>
  <colFields count="1">
    <field x="10"/>
  </colFields>
  <colItems count="4">
    <i>
      <x/>
    </i>
    <i>
      <x v="1"/>
    </i>
    <i>
      <x v="2"/>
    </i>
    <i t="grand">
      <x/>
    </i>
  </colItems>
  <dataFields count="1">
    <dataField name="Count of Patient Status at Discharge"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B7CBC6-62F4-44BF-83B8-F01103F4D5B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16">
    <pivotField showAll="0"/>
    <pivotField numFmtId="22" showAll="0"/>
    <pivotField numFmtId="22" showAll="0"/>
    <pivotField showAll="0"/>
    <pivotField showAll="0"/>
    <pivotField axis="axisRow" dataField="1" showAll="0" sortType="descending">
      <items count="8">
        <item x="4"/>
        <item x="2"/>
        <item x="3"/>
        <item x="1"/>
        <item x="5"/>
        <item x="6"/>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s>
  <rowFields count="1">
    <field x="5"/>
  </rowFields>
  <rowItems count="8">
    <i>
      <x v="6"/>
    </i>
    <i>
      <x v="1"/>
    </i>
    <i>
      <x v="2"/>
    </i>
    <i>
      <x/>
    </i>
    <i>
      <x v="3"/>
    </i>
    <i>
      <x v="4"/>
    </i>
    <i>
      <x v="5"/>
    </i>
    <i t="grand">
      <x/>
    </i>
  </rowItems>
  <colItems count="1">
    <i/>
  </colItems>
  <dataFields count="1">
    <dataField name="Count of Operation Type"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D738E4-780E-4098-B6C3-E2DEC309BABB}"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I15" firstHeaderRow="1" firstDataRow="2" firstDataCol="1"/>
  <pivotFields count="16">
    <pivotField showAll="0"/>
    <pivotField numFmtId="22" showAll="0">
      <items count="1203">
        <item x="6"/>
        <item x="14"/>
        <item x="20"/>
        <item x="5"/>
        <item x="19"/>
        <item x="27"/>
        <item x="17"/>
        <item x="4"/>
        <item x="1"/>
        <item x="0"/>
        <item x="2"/>
        <item x="3"/>
        <item x="9"/>
        <item x="42"/>
        <item x="8"/>
        <item x="7"/>
        <item x="13"/>
        <item x="10"/>
        <item x="11"/>
        <item x="12"/>
        <item x="15"/>
        <item x="18"/>
        <item x="16"/>
        <item x="25"/>
        <item x="21"/>
        <item x="23"/>
        <item x="24"/>
        <item x="22"/>
        <item x="26"/>
        <item x="28"/>
        <item x="80"/>
        <item x="40"/>
        <item x="71"/>
        <item x="36"/>
        <item x="29"/>
        <item x="30"/>
        <item x="31"/>
        <item x="32"/>
        <item x="33"/>
        <item x="114"/>
        <item x="35"/>
        <item x="34"/>
        <item x="86"/>
        <item x="73"/>
        <item x="37"/>
        <item x="38"/>
        <item x="43"/>
        <item x="49"/>
        <item x="39"/>
        <item x="41"/>
        <item x="63"/>
        <item x="47"/>
        <item x="46"/>
        <item x="45"/>
        <item x="44"/>
        <item x="58"/>
        <item x="78"/>
        <item x="61"/>
        <item x="50"/>
        <item x="53"/>
        <item x="48"/>
        <item x="60"/>
        <item x="52"/>
        <item x="51"/>
        <item x="57"/>
        <item x="54"/>
        <item x="56"/>
        <item x="59"/>
        <item x="55"/>
        <item x="62"/>
        <item x="65"/>
        <item x="64"/>
        <item x="66"/>
        <item x="67"/>
        <item x="169"/>
        <item x="68"/>
        <item x="69"/>
        <item x="72"/>
        <item x="70"/>
        <item x="74"/>
        <item x="75"/>
        <item x="76"/>
        <item x="79"/>
        <item x="77"/>
        <item x="81"/>
        <item x="82"/>
        <item x="84"/>
        <item x="83"/>
        <item x="106"/>
        <item x="88"/>
        <item x="148"/>
        <item x="85"/>
        <item x="87"/>
        <item x="89"/>
        <item x="90"/>
        <item x="93"/>
        <item x="100"/>
        <item x="92"/>
        <item x="91"/>
        <item x="94"/>
        <item x="96"/>
        <item x="95"/>
        <item x="120"/>
        <item x="98"/>
        <item x="97"/>
        <item x="118"/>
        <item x="99"/>
        <item x="101"/>
        <item x="104"/>
        <item x="105"/>
        <item x="108"/>
        <item x="103"/>
        <item x="102"/>
        <item x="109"/>
        <item x="107"/>
        <item x="232"/>
        <item x="110"/>
        <item x="111"/>
        <item x="112"/>
        <item x="115"/>
        <item x="117"/>
        <item x="116"/>
        <item x="113"/>
        <item x="121"/>
        <item x="125"/>
        <item x="119"/>
        <item x="122"/>
        <item x="147"/>
        <item x="124"/>
        <item x="126"/>
        <item x="123"/>
        <item x="127"/>
        <item x="130"/>
        <item x="128"/>
        <item x="129"/>
        <item x="179"/>
        <item x="132"/>
        <item x="156"/>
        <item x="131"/>
        <item x="133"/>
        <item x="137"/>
        <item x="135"/>
        <item x="134"/>
        <item x="136"/>
        <item x="144"/>
        <item x="138"/>
        <item x="139"/>
        <item x="141"/>
        <item x="140"/>
        <item x="143"/>
        <item x="142"/>
        <item x="146"/>
        <item x="145"/>
        <item x="152"/>
        <item x="149"/>
        <item x="150"/>
        <item x="151"/>
        <item x="154"/>
        <item x="153"/>
        <item x="159"/>
        <item x="155"/>
        <item x="206"/>
        <item x="157"/>
        <item x="158"/>
        <item x="163"/>
        <item x="161"/>
        <item x="160"/>
        <item x="162"/>
        <item x="166"/>
        <item x="177"/>
        <item x="165"/>
        <item x="164"/>
        <item x="167"/>
        <item x="168"/>
        <item x="170"/>
        <item x="172"/>
        <item x="171"/>
        <item x="175"/>
        <item x="198"/>
        <item x="174"/>
        <item x="176"/>
        <item x="173"/>
        <item x="183"/>
        <item x="225"/>
        <item x="178"/>
        <item x="180"/>
        <item x="212"/>
        <item x="200"/>
        <item x="181"/>
        <item x="182"/>
        <item x="188"/>
        <item x="184"/>
        <item x="185"/>
        <item x="186"/>
        <item x="187"/>
        <item x="189"/>
        <item x="190"/>
        <item x="192"/>
        <item x="191"/>
        <item x="193"/>
        <item x="194"/>
        <item x="195"/>
        <item x="196"/>
        <item x="197"/>
        <item x="199"/>
        <item x="203"/>
        <item x="236"/>
        <item x="201"/>
        <item x="202"/>
        <item x="204"/>
        <item x="205"/>
        <item x="208"/>
        <item x="209"/>
        <item x="207"/>
        <item x="213"/>
        <item x="210"/>
        <item x="211"/>
        <item x="227"/>
        <item x="246"/>
        <item x="216"/>
        <item x="215"/>
        <item x="214"/>
        <item x="217"/>
        <item x="218"/>
        <item x="222"/>
        <item x="219"/>
        <item x="220"/>
        <item x="221"/>
        <item x="223"/>
        <item x="308"/>
        <item x="226"/>
        <item x="259"/>
        <item x="224"/>
        <item x="228"/>
        <item x="248"/>
        <item x="230"/>
        <item x="229"/>
        <item x="231"/>
        <item x="244"/>
        <item x="293"/>
        <item x="234"/>
        <item x="233"/>
        <item x="235"/>
        <item x="237"/>
        <item x="253"/>
        <item x="238"/>
        <item x="239"/>
        <item x="240"/>
        <item x="241"/>
        <item x="243"/>
        <item x="242"/>
        <item x="249"/>
        <item x="303"/>
        <item x="245"/>
        <item x="247"/>
        <item x="250"/>
        <item x="252"/>
        <item x="254"/>
        <item x="251"/>
        <item x="313"/>
        <item x="255"/>
        <item x="296"/>
        <item x="258"/>
        <item x="257"/>
        <item x="256"/>
        <item x="262"/>
        <item x="298"/>
        <item x="261"/>
        <item x="260"/>
        <item x="265"/>
        <item x="263"/>
        <item x="264"/>
        <item x="267"/>
        <item x="266"/>
        <item x="268"/>
        <item x="271"/>
        <item x="269"/>
        <item x="270"/>
        <item x="309"/>
        <item x="273"/>
        <item x="276"/>
        <item x="272"/>
        <item x="274"/>
        <item x="275"/>
        <item x="285"/>
        <item x="279"/>
        <item x="277"/>
        <item x="278"/>
        <item x="280"/>
        <item x="284"/>
        <item x="283"/>
        <item x="282"/>
        <item x="281"/>
        <item x="288"/>
        <item x="289"/>
        <item x="286"/>
        <item x="287"/>
        <item x="306"/>
        <item x="290"/>
        <item x="312"/>
        <item x="295"/>
        <item x="292"/>
        <item x="294"/>
        <item x="291"/>
        <item x="322"/>
        <item x="305"/>
        <item x="297"/>
        <item x="301"/>
        <item x="299"/>
        <item x="334"/>
        <item x="300"/>
        <item x="302"/>
        <item x="307"/>
        <item x="304"/>
        <item x="316"/>
        <item x="317"/>
        <item x="310"/>
        <item x="330"/>
        <item x="311"/>
        <item x="314"/>
        <item x="315"/>
        <item x="320"/>
        <item x="318"/>
        <item x="321"/>
        <item x="319"/>
        <item x="328"/>
        <item x="324"/>
        <item x="323"/>
        <item x="327"/>
        <item x="325"/>
        <item x="326"/>
        <item x="333"/>
        <item x="329"/>
        <item x="332"/>
        <item x="331"/>
        <item x="336"/>
        <item x="335"/>
        <item x="337"/>
        <item x="338"/>
        <item x="340"/>
        <item x="341"/>
        <item x="339"/>
        <item x="342"/>
        <item x="343"/>
        <item x="344"/>
        <item x="345"/>
        <item x="346"/>
        <item x="347"/>
        <item x="350"/>
        <item x="348"/>
        <item x="349"/>
        <item x="351"/>
        <item x="355"/>
        <item x="353"/>
        <item x="352"/>
        <item x="354"/>
        <item x="357"/>
        <item x="356"/>
        <item x="358"/>
        <item x="361"/>
        <item x="359"/>
        <item x="360"/>
        <item x="375"/>
        <item x="362"/>
        <item x="363"/>
        <item x="364"/>
        <item x="365"/>
        <item x="369"/>
        <item x="366"/>
        <item x="367"/>
        <item x="368"/>
        <item x="370"/>
        <item x="371"/>
        <item x="373"/>
        <item x="372"/>
        <item x="374"/>
        <item x="378"/>
        <item x="376"/>
        <item x="391"/>
        <item x="395"/>
        <item x="377"/>
        <item x="387"/>
        <item x="379"/>
        <item x="380"/>
        <item x="383"/>
        <item x="381"/>
        <item x="384"/>
        <item x="385"/>
        <item x="389"/>
        <item x="382"/>
        <item x="386"/>
        <item x="399"/>
        <item x="424"/>
        <item x="412"/>
        <item x="415"/>
        <item x="390"/>
        <item x="388"/>
        <item x="392"/>
        <item x="398"/>
        <item x="393"/>
        <item x="401"/>
        <item x="394"/>
        <item x="396"/>
        <item x="405"/>
        <item x="403"/>
        <item x="397"/>
        <item x="406"/>
        <item x="400"/>
        <item x="416"/>
        <item x="402"/>
        <item x="408"/>
        <item x="404"/>
        <item x="418"/>
        <item x="407"/>
        <item x="411"/>
        <item x="414"/>
        <item x="409"/>
        <item x="410"/>
        <item x="419"/>
        <item x="413"/>
        <item x="417"/>
        <item x="420"/>
        <item x="422"/>
        <item x="430"/>
        <item x="421"/>
        <item x="423"/>
        <item x="440"/>
        <item x="441"/>
        <item x="425"/>
        <item x="427"/>
        <item x="426"/>
        <item x="429"/>
        <item x="428"/>
        <item x="432"/>
        <item x="436"/>
        <item x="438"/>
        <item x="431"/>
        <item x="434"/>
        <item x="433"/>
        <item x="435"/>
        <item x="463"/>
        <item x="437"/>
        <item x="445"/>
        <item x="439"/>
        <item x="442"/>
        <item x="443"/>
        <item x="447"/>
        <item x="460"/>
        <item x="444"/>
        <item x="446"/>
        <item x="453"/>
        <item x="607"/>
        <item x="490"/>
        <item x="448"/>
        <item x="450"/>
        <item x="449"/>
        <item x="456"/>
        <item x="451"/>
        <item x="452"/>
        <item x="455"/>
        <item x="454"/>
        <item x="457"/>
        <item x="458"/>
        <item x="459"/>
        <item x="461"/>
        <item x="494"/>
        <item x="472"/>
        <item x="465"/>
        <item x="462"/>
        <item x="464"/>
        <item x="469"/>
        <item x="466"/>
        <item x="502"/>
        <item x="467"/>
        <item x="484"/>
        <item x="476"/>
        <item x="468"/>
        <item x="470"/>
        <item x="473"/>
        <item x="471"/>
        <item x="478"/>
        <item x="475"/>
        <item x="474"/>
        <item x="487"/>
        <item x="477"/>
        <item x="524"/>
        <item x="481"/>
        <item x="480"/>
        <item x="479"/>
        <item x="491"/>
        <item x="483"/>
        <item x="485"/>
        <item x="482"/>
        <item x="488"/>
        <item x="486"/>
        <item x="538"/>
        <item x="489"/>
        <item x="493"/>
        <item x="492"/>
        <item x="499"/>
        <item x="495"/>
        <item x="531"/>
        <item x="496"/>
        <item x="510"/>
        <item x="572"/>
        <item x="501"/>
        <item x="497"/>
        <item x="498"/>
        <item x="500"/>
        <item x="512"/>
        <item x="507"/>
        <item x="568"/>
        <item x="504"/>
        <item x="503"/>
        <item x="505"/>
        <item x="506"/>
        <item x="586"/>
        <item x="511"/>
        <item x="508"/>
        <item x="509"/>
        <item x="516"/>
        <item x="514"/>
        <item x="576"/>
        <item x="513"/>
        <item x="562"/>
        <item x="515"/>
        <item x="523"/>
        <item x="517"/>
        <item x="520"/>
        <item x="519"/>
        <item x="518"/>
        <item x="522"/>
        <item x="521"/>
        <item x="534"/>
        <item x="547"/>
        <item x="540"/>
        <item x="526"/>
        <item x="525"/>
        <item x="527"/>
        <item x="529"/>
        <item x="528"/>
        <item x="539"/>
        <item x="533"/>
        <item x="530"/>
        <item x="532"/>
        <item x="535"/>
        <item x="536"/>
        <item x="537"/>
        <item x="543"/>
        <item x="544"/>
        <item x="541"/>
        <item x="606"/>
        <item x="549"/>
        <item x="542"/>
        <item x="545"/>
        <item x="560"/>
        <item x="546"/>
        <item x="548"/>
        <item x="550"/>
        <item x="551"/>
        <item x="628"/>
        <item x="553"/>
        <item x="552"/>
        <item x="555"/>
        <item x="554"/>
        <item x="558"/>
        <item x="579"/>
        <item x="556"/>
        <item x="583"/>
        <item x="557"/>
        <item x="564"/>
        <item x="566"/>
        <item x="559"/>
        <item x="561"/>
        <item x="565"/>
        <item x="563"/>
        <item x="567"/>
        <item x="569"/>
        <item x="631"/>
        <item x="571"/>
        <item x="570"/>
        <item x="609"/>
        <item x="575"/>
        <item x="574"/>
        <item x="573"/>
        <item x="577"/>
        <item x="578"/>
        <item x="603"/>
        <item x="582"/>
        <item x="590"/>
        <item x="592"/>
        <item x="581"/>
        <item x="580"/>
        <item x="585"/>
        <item x="584"/>
        <item x="598"/>
        <item x="601"/>
        <item x="587"/>
        <item x="589"/>
        <item x="591"/>
        <item x="588"/>
        <item x="593"/>
        <item x="594"/>
        <item x="597"/>
        <item x="599"/>
        <item x="595"/>
        <item x="596"/>
        <item x="602"/>
        <item x="600"/>
        <item x="623"/>
        <item x="604"/>
        <item x="605"/>
        <item x="610"/>
        <item x="608"/>
        <item x="612"/>
        <item x="611"/>
        <item x="613"/>
        <item x="614"/>
        <item x="615"/>
        <item x="616"/>
        <item x="625"/>
        <item x="714"/>
        <item x="627"/>
        <item x="617"/>
        <item x="619"/>
        <item x="618"/>
        <item x="622"/>
        <item x="620"/>
        <item x="624"/>
        <item x="621"/>
        <item x="636"/>
        <item x="629"/>
        <item x="626"/>
        <item x="642"/>
        <item x="632"/>
        <item x="630"/>
        <item x="640"/>
        <item x="633"/>
        <item x="656"/>
        <item x="641"/>
        <item x="634"/>
        <item x="637"/>
        <item x="635"/>
        <item x="638"/>
        <item x="639"/>
        <item x="653"/>
        <item x="676"/>
        <item x="645"/>
        <item x="643"/>
        <item x="646"/>
        <item x="644"/>
        <item x="648"/>
        <item x="650"/>
        <item x="647"/>
        <item x="649"/>
        <item x="659"/>
        <item x="651"/>
        <item x="654"/>
        <item x="661"/>
        <item x="658"/>
        <item x="663"/>
        <item x="655"/>
        <item x="691"/>
        <item x="652"/>
        <item x="657"/>
        <item x="667"/>
        <item x="675"/>
        <item x="662"/>
        <item x="660"/>
        <item x="665"/>
        <item x="668"/>
        <item x="664"/>
        <item x="669"/>
        <item x="666"/>
        <item x="687"/>
        <item x="671"/>
        <item x="672"/>
        <item x="670"/>
        <item x="673"/>
        <item x="674"/>
        <item x="677"/>
        <item x="712"/>
        <item x="679"/>
        <item x="678"/>
        <item x="682"/>
        <item x="683"/>
        <item x="681"/>
        <item x="680"/>
        <item x="684"/>
        <item x="742"/>
        <item x="731"/>
        <item x="686"/>
        <item x="689"/>
        <item x="685"/>
        <item x="688"/>
        <item x="701"/>
        <item x="738"/>
        <item x="693"/>
        <item x="692"/>
        <item x="699"/>
        <item x="690"/>
        <item x="703"/>
        <item x="705"/>
        <item x="695"/>
        <item x="696"/>
        <item x="694"/>
        <item x="707"/>
        <item x="702"/>
        <item x="697"/>
        <item x="698"/>
        <item x="700"/>
        <item x="704"/>
        <item x="718"/>
        <item x="706"/>
        <item x="708"/>
        <item x="709"/>
        <item x="711"/>
        <item x="710"/>
        <item x="756"/>
        <item x="713"/>
        <item x="728"/>
        <item x="730"/>
        <item x="715"/>
        <item x="784"/>
        <item x="716"/>
        <item x="717"/>
        <item x="722"/>
        <item x="720"/>
        <item x="719"/>
        <item x="721"/>
        <item x="774"/>
        <item x="723"/>
        <item x="724"/>
        <item x="726"/>
        <item x="725"/>
        <item x="727"/>
        <item x="772"/>
        <item x="729"/>
        <item x="750"/>
        <item x="732"/>
        <item x="733"/>
        <item x="734"/>
        <item x="736"/>
        <item x="777"/>
        <item x="735"/>
        <item x="739"/>
        <item x="737"/>
        <item x="749"/>
        <item x="754"/>
        <item x="744"/>
        <item x="769"/>
        <item x="741"/>
        <item x="740"/>
        <item x="743"/>
        <item x="745"/>
        <item x="748"/>
        <item x="746"/>
        <item x="747"/>
        <item x="751"/>
        <item x="760"/>
        <item x="757"/>
        <item x="759"/>
        <item x="753"/>
        <item x="752"/>
        <item x="755"/>
        <item x="813"/>
        <item x="798"/>
        <item x="787"/>
        <item x="758"/>
        <item x="761"/>
        <item x="762"/>
        <item x="763"/>
        <item x="764"/>
        <item x="770"/>
        <item x="783"/>
        <item x="773"/>
        <item x="771"/>
        <item x="810"/>
        <item x="779"/>
        <item x="775"/>
        <item x="768"/>
        <item x="767"/>
        <item x="766"/>
        <item x="765"/>
        <item x="778"/>
        <item x="776"/>
        <item x="780"/>
        <item x="794"/>
        <item x="781"/>
        <item x="782"/>
        <item x="786"/>
        <item x="793"/>
        <item x="788"/>
        <item x="785"/>
        <item x="796"/>
        <item x="790"/>
        <item x="789"/>
        <item x="791"/>
        <item x="792"/>
        <item x="808"/>
        <item x="814"/>
        <item x="795"/>
        <item x="797"/>
        <item x="799"/>
        <item x="800"/>
        <item x="803"/>
        <item x="801"/>
        <item x="802"/>
        <item x="817"/>
        <item x="804"/>
        <item x="841"/>
        <item x="812"/>
        <item x="805"/>
        <item x="806"/>
        <item x="815"/>
        <item x="807"/>
        <item x="809"/>
        <item x="827"/>
        <item x="811"/>
        <item x="844"/>
        <item x="893"/>
        <item x="823"/>
        <item x="816"/>
        <item x="819"/>
        <item x="818"/>
        <item x="820"/>
        <item x="838"/>
        <item x="826"/>
        <item x="821"/>
        <item x="822"/>
        <item x="824"/>
        <item x="855"/>
        <item x="825"/>
        <item x="828"/>
        <item x="843"/>
        <item x="829"/>
        <item x="834"/>
        <item x="831"/>
        <item x="832"/>
        <item x="833"/>
        <item x="835"/>
        <item x="830"/>
        <item x="887"/>
        <item x="836"/>
        <item x="839"/>
        <item x="837"/>
        <item x="840"/>
        <item x="876"/>
        <item x="849"/>
        <item x="845"/>
        <item x="842"/>
        <item x="864"/>
        <item x="846"/>
        <item x="848"/>
        <item x="850"/>
        <item x="847"/>
        <item x="853"/>
        <item x="851"/>
        <item x="919"/>
        <item x="860"/>
        <item x="903"/>
        <item x="852"/>
        <item x="856"/>
        <item x="854"/>
        <item x="858"/>
        <item x="857"/>
        <item x="861"/>
        <item x="859"/>
        <item x="862"/>
        <item x="863"/>
        <item x="865"/>
        <item x="866"/>
        <item x="867"/>
        <item x="879"/>
        <item x="869"/>
        <item x="868"/>
        <item x="871"/>
        <item x="870"/>
        <item x="872"/>
        <item x="874"/>
        <item x="873"/>
        <item x="875"/>
        <item x="884"/>
        <item x="877"/>
        <item x="878"/>
        <item x="913"/>
        <item x="892"/>
        <item x="882"/>
        <item x="881"/>
        <item x="880"/>
        <item x="883"/>
        <item x="885"/>
        <item x="888"/>
        <item x="949"/>
        <item x="889"/>
        <item x="886"/>
        <item x="891"/>
        <item x="890"/>
        <item x="925"/>
        <item x="896"/>
        <item x="895"/>
        <item x="939"/>
        <item x="902"/>
        <item x="894"/>
        <item x="897"/>
        <item x="900"/>
        <item x="906"/>
        <item x="945"/>
        <item x="907"/>
        <item x="898"/>
        <item x="899"/>
        <item x="905"/>
        <item x="901"/>
        <item x="904"/>
        <item x="948"/>
        <item x="914"/>
        <item x="922"/>
        <item x="908"/>
        <item x="909"/>
        <item x="911"/>
        <item x="910"/>
        <item x="917"/>
        <item x="920"/>
        <item x="912"/>
        <item x="916"/>
        <item x="915"/>
        <item x="928"/>
        <item x="951"/>
        <item x="961"/>
        <item x="974"/>
        <item x="921"/>
        <item x="918"/>
        <item x="931"/>
        <item x="924"/>
        <item x="923"/>
        <item x="926"/>
        <item x="927"/>
        <item x="930"/>
        <item x="929"/>
        <item x="934"/>
        <item x="955"/>
        <item x="935"/>
        <item x="932"/>
        <item x="933"/>
        <item x="986"/>
        <item x="962"/>
        <item x="1036"/>
        <item x="938"/>
        <item x="937"/>
        <item x="956"/>
        <item x="936"/>
        <item x="943"/>
        <item x="941"/>
        <item x="940"/>
        <item x="942"/>
        <item x="947"/>
        <item x="944"/>
        <item x="946"/>
        <item x="995"/>
        <item x="964"/>
        <item x="957"/>
        <item x="954"/>
        <item x="950"/>
        <item x="953"/>
        <item x="952"/>
        <item x="979"/>
        <item x="958"/>
        <item x="959"/>
        <item x="965"/>
        <item x="960"/>
        <item x="968"/>
        <item x="966"/>
        <item x="963"/>
        <item x="967"/>
        <item x="970"/>
        <item x="969"/>
        <item x="973"/>
        <item x="971"/>
        <item x="981"/>
        <item x="992"/>
        <item x="975"/>
        <item x="1031"/>
        <item x="972"/>
        <item x="985"/>
        <item x="982"/>
        <item x="976"/>
        <item x="977"/>
        <item x="978"/>
        <item x="980"/>
        <item x="984"/>
        <item x="983"/>
        <item x="989"/>
        <item x="1011"/>
        <item x="1048"/>
        <item x="990"/>
        <item x="987"/>
        <item x="988"/>
        <item x="994"/>
        <item x="991"/>
        <item x="1003"/>
        <item x="997"/>
        <item x="993"/>
        <item x="996"/>
        <item x="1002"/>
        <item x="1001"/>
        <item x="999"/>
        <item x="1000"/>
        <item x="1014"/>
        <item x="998"/>
        <item x="1019"/>
        <item x="1007"/>
        <item x="1027"/>
        <item x="1028"/>
        <item x="1008"/>
        <item x="1005"/>
        <item x="1004"/>
        <item x="1016"/>
        <item x="1006"/>
        <item x="1012"/>
        <item x="1020"/>
        <item x="1009"/>
        <item x="1010"/>
        <item x="1017"/>
        <item x="1013"/>
        <item x="1056"/>
        <item x="1015"/>
        <item x="1022"/>
        <item x="1058"/>
        <item x="1018"/>
        <item x="1021"/>
        <item x="1052"/>
        <item x="1023"/>
        <item x="1024"/>
        <item x="1041"/>
        <item x="1029"/>
        <item x="1073"/>
        <item x="1026"/>
        <item x="1025"/>
        <item x="1081"/>
        <item x="1034"/>
        <item x="1040"/>
        <item x="1030"/>
        <item x="1042"/>
        <item x="1035"/>
        <item x="1032"/>
        <item x="1033"/>
        <item x="1037"/>
        <item x="1039"/>
        <item x="1038"/>
        <item x="1043"/>
        <item x="1080"/>
        <item x="1044"/>
        <item x="1045"/>
        <item x="1079"/>
        <item x="1078"/>
        <item x="1068"/>
        <item x="1049"/>
        <item x="1046"/>
        <item x="1047"/>
        <item x="1050"/>
        <item x="1051"/>
        <item x="1053"/>
        <item x="1083"/>
        <item x="1062"/>
        <item x="1061"/>
        <item x="1055"/>
        <item x="1054"/>
        <item x="1057"/>
        <item x="1069"/>
        <item x="1086"/>
        <item x="1060"/>
        <item x="1059"/>
        <item x="1065"/>
        <item x="1064"/>
        <item x="1063"/>
        <item x="1149"/>
        <item x="1113"/>
        <item x="1067"/>
        <item x="1074"/>
        <item x="1066"/>
        <item x="1070"/>
        <item x="1097"/>
        <item x="1072"/>
        <item x="1071"/>
        <item x="1077"/>
        <item x="1075"/>
        <item x="1076"/>
        <item x="1082"/>
        <item x="1087"/>
        <item x="1085"/>
        <item x="1084"/>
        <item x="1118"/>
        <item x="1091"/>
        <item x="1088"/>
        <item x="1090"/>
        <item x="1089"/>
        <item x="1092"/>
        <item x="1093"/>
        <item x="1098"/>
        <item x="1094"/>
        <item x="1095"/>
        <item x="1096"/>
        <item x="1100"/>
        <item x="1106"/>
        <item x="1099"/>
        <item x="1124"/>
        <item x="1101"/>
        <item x="1102"/>
        <item x="1143"/>
        <item x="1108"/>
        <item x="1110"/>
        <item x="1103"/>
        <item x="1109"/>
        <item x="1105"/>
        <item x="1104"/>
        <item x="1107"/>
        <item x="1111"/>
        <item x="1120"/>
        <item x="1114"/>
        <item x="1116"/>
        <item x="1112"/>
        <item x="1115"/>
        <item x="1127"/>
        <item x="1126"/>
        <item x="1117"/>
        <item x="1119"/>
        <item x="1121"/>
        <item x="1167"/>
        <item x="1125"/>
        <item x="1122"/>
        <item x="1123"/>
        <item x="1166"/>
        <item x="1128"/>
        <item x="1130"/>
        <item x="1129"/>
        <item x="1133"/>
        <item x="1136"/>
        <item x="1134"/>
        <item x="1137"/>
        <item x="1132"/>
        <item x="1131"/>
        <item x="1135"/>
        <item x="1139"/>
        <item x="1138"/>
        <item x="1142"/>
        <item x="1140"/>
        <item x="1141"/>
        <item x="1145"/>
        <item x="1144"/>
        <item x="1152"/>
        <item x="1165"/>
        <item x="1161"/>
        <item x="1155"/>
        <item x="1146"/>
        <item x="1147"/>
        <item x="1151"/>
        <item x="1148"/>
        <item x="1150"/>
        <item x="1154"/>
        <item x="1153"/>
        <item x="1175"/>
        <item x="1156"/>
        <item x="1157"/>
        <item x="1159"/>
        <item x="1158"/>
        <item x="1160"/>
        <item x="1187"/>
        <item x="1162"/>
        <item x="1164"/>
        <item x="1163"/>
        <item x="1171"/>
        <item x="1172"/>
        <item x="1169"/>
        <item x="1168"/>
        <item x="1170"/>
        <item x="1173"/>
        <item x="1174"/>
        <item x="1190"/>
        <item x="1186"/>
        <item x="1176"/>
        <item x="1177"/>
        <item x="1178"/>
        <item x="1179"/>
        <item x="1180"/>
        <item x="1181"/>
        <item x="1182"/>
        <item x="1183"/>
        <item x="1184"/>
        <item x="1185"/>
        <item x="1191"/>
        <item x="1188"/>
        <item x="1189"/>
        <item x="1194"/>
        <item x="1192"/>
        <item x="1193"/>
        <item x="1195"/>
        <item x="1196"/>
        <item x="1199"/>
        <item x="1197"/>
        <item x="1198"/>
        <item x="1201"/>
        <item x="1200"/>
        <item t="default"/>
      </items>
    </pivotField>
    <pivotField numFmtId="22" showAll="0"/>
    <pivotField showAll="0"/>
    <pivotField showAll="0"/>
    <pivotField axis="axisCol" showAll="0">
      <items count="8">
        <item x="4"/>
        <item x="2"/>
        <item x="3"/>
        <item x="1"/>
        <item x="5"/>
        <item x="6"/>
        <item x="0"/>
        <item t="default"/>
      </items>
    </pivotField>
    <pivotField axis="axisRow" dataField="1" showAll="0" measureFilter="1">
      <items count="18">
        <item x="5"/>
        <item x="7"/>
        <item x="15"/>
        <item x="9"/>
        <item x="12"/>
        <item x="1"/>
        <item x="8"/>
        <item x="4"/>
        <item x="11"/>
        <item x="2"/>
        <item x="6"/>
        <item x="13"/>
        <item x="10"/>
        <item x="14"/>
        <item x="16"/>
        <item x="0"/>
        <item x="3"/>
        <item t="default"/>
      </items>
    </pivotField>
    <pivotField showAll="0"/>
    <pivotField showAll="0"/>
    <pivotField showAll="0"/>
    <pivotField showAll="0"/>
    <pivotField showAll="0"/>
    <pivotField showAll="0"/>
    <pivotField showAll="0"/>
    <pivotField showAll="0"/>
    <pivotField showAll="0"/>
  </pivotFields>
  <rowFields count="1">
    <field x="6"/>
  </rowFields>
  <rowItems count="11">
    <i>
      <x v="1"/>
    </i>
    <i>
      <x v="2"/>
    </i>
    <i>
      <x v="4"/>
    </i>
    <i>
      <x v="5"/>
    </i>
    <i>
      <x v="6"/>
    </i>
    <i>
      <x v="7"/>
    </i>
    <i>
      <x v="8"/>
    </i>
    <i>
      <x v="9"/>
    </i>
    <i>
      <x v="10"/>
    </i>
    <i>
      <x v="15"/>
    </i>
    <i t="grand">
      <x/>
    </i>
  </rowItems>
  <colFields count="1">
    <field x="5"/>
  </colFields>
  <colItems count="8">
    <i>
      <x/>
    </i>
    <i>
      <x v="1"/>
    </i>
    <i>
      <x v="2"/>
    </i>
    <i>
      <x v="3"/>
    </i>
    <i>
      <x v="4"/>
    </i>
    <i>
      <x v="5"/>
    </i>
    <i>
      <x v="6"/>
    </i>
    <i t="grand">
      <x/>
    </i>
  </colItems>
  <dataFields count="1">
    <dataField name="Count of Surgeon Name" fld="6" subtotal="count" baseField="0" baseItem="0"/>
  </dataFields>
  <chartFormats count="1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0" format="5" series="1">
      <pivotArea type="data" outline="0" fieldPosition="0">
        <references count="2">
          <reference field="4294967294" count="1" selected="0">
            <x v="0"/>
          </reference>
          <reference field="5" count="1" selected="0">
            <x v="5"/>
          </reference>
        </references>
      </pivotArea>
    </chartFormat>
    <chartFormat chart="0" format="6" series="1">
      <pivotArea type="data" outline="0" fieldPosition="0">
        <references count="2">
          <reference field="4294967294" count="1" selected="0">
            <x v="0"/>
          </reference>
          <reference field="5" count="1" selected="0">
            <x v="6"/>
          </reference>
        </references>
      </pivotArea>
    </chartFormat>
    <chartFormat chart="3" format="14" series="1">
      <pivotArea type="data" outline="0" fieldPosition="0">
        <references count="2">
          <reference field="4294967294" count="1" selected="0">
            <x v="0"/>
          </reference>
          <reference field="5" count="1" selected="0">
            <x v="0"/>
          </reference>
        </references>
      </pivotArea>
    </chartFormat>
    <chartFormat chart="3" format="15" series="1">
      <pivotArea type="data" outline="0" fieldPosition="0">
        <references count="2">
          <reference field="4294967294" count="1" selected="0">
            <x v="0"/>
          </reference>
          <reference field="5" count="1" selected="0">
            <x v="1"/>
          </reference>
        </references>
      </pivotArea>
    </chartFormat>
    <chartFormat chart="3" format="16" series="1">
      <pivotArea type="data" outline="0" fieldPosition="0">
        <references count="2">
          <reference field="4294967294" count="1" selected="0">
            <x v="0"/>
          </reference>
          <reference field="5" count="1" selected="0">
            <x v="2"/>
          </reference>
        </references>
      </pivotArea>
    </chartFormat>
    <chartFormat chart="3" format="17" series="1">
      <pivotArea type="data" outline="0" fieldPosition="0">
        <references count="2">
          <reference field="4294967294" count="1" selected="0">
            <x v="0"/>
          </reference>
          <reference field="5" count="1" selected="0">
            <x v="3"/>
          </reference>
        </references>
      </pivotArea>
    </chartFormat>
    <chartFormat chart="3" format="18" series="1">
      <pivotArea type="data" outline="0" fieldPosition="0">
        <references count="2">
          <reference field="4294967294" count="1" selected="0">
            <x v="0"/>
          </reference>
          <reference field="5" count="1" selected="0">
            <x v="4"/>
          </reference>
        </references>
      </pivotArea>
    </chartFormat>
    <chartFormat chart="3" format="19" series="1">
      <pivotArea type="data" outline="0" fieldPosition="0">
        <references count="2">
          <reference field="4294967294" count="1" selected="0">
            <x v="0"/>
          </reference>
          <reference field="5" count="1" selected="0">
            <x v="5"/>
          </reference>
        </references>
      </pivotArea>
    </chartFormat>
    <chartFormat chart="3" format="20" series="1">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3B9722-6E80-4A74-91E4-8FDCF4F1EB88}"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2:C50" firstHeaderRow="0" firstDataRow="1" firstDataCol="1"/>
  <pivotFields count="16">
    <pivotField showAll="0"/>
    <pivotField numFmtId="22" showAll="0">
      <items count="1203">
        <item x="6"/>
        <item x="14"/>
        <item x="20"/>
        <item x="5"/>
        <item x="19"/>
        <item x="27"/>
        <item x="17"/>
        <item x="4"/>
        <item x="1"/>
        <item x="0"/>
        <item x="2"/>
        <item x="3"/>
        <item x="9"/>
        <item x="42"/>
        <item x="8"/>
        <item x="7"/>
        <item x="13"/>
        <item x="10"/>
        <item x="11"/>
        <item x="12"/>
        <item x="15"/>
        <item x="18"/>
        <item x="16"/>
        <item x="25"/>
        <item x="21"/>
        <item x="23"/>
        <item x="24"/>
        <item x="22"/>
        <item x="26"/>
        <item x="28"/>
        <item x="80"/>
        <item x="40"/>
        <item x="71"/>
        <item x="36"/>
        <item x="29"/>
        <item x="30"/>
        <item x="31"/>
        <item x="32"/>
        <item x="33"/>
        <item x="114"/>
        <item x="35"/>
        <item x="34"/>
        <item x="86"/>
        <item x="73"/>
        <item x="37"/>
        <item x="38"/>
        <item x="43"/>
        <item x="49"/>
        <item x="39"/>
        <item x="41"/>
        <item x="63"/>
        <item x="47"/>
        <item x="46"/>
        <item x="45"/>
        <item x="44"/>
        <item x="58"/>
        <item x="78"/>
        <item x="61"/>
        <item x="50"/>
        <item x="53"/>
        <item x="48"/>
        <item x="60"/>
        <item x="52"/>
        <item x="51"/>
        <item x="57"/>
        <item x="54"/>
        <item x="56"/>
        <item x="59"/>
        <item x="55"/>
        <item x="62"/>
        <item x="65"/>
        <item x="64"/>
        <item x="66"/>
        <item x="67"/>
        <item x="169"/>
        <item x="68"/>
        <item x="69"/>
        <item x="72"/>
        <item x="70"/>
        <item x="74"/>
        <item x="75"/>
        <item x="76"/>
        <item x="79"/>
        <item x="77"/>
        <item x="81"/>
        <item x="82"/>
        <item x="84"/>
        <item x="83"/>
        <item x="106"/>
        <item x="88"/>
        <item x="148"/>
        <item x="85"/>
        <item x="87"/>
        <item x="89"/>
        <item x="90"/>
        <item x="93"/>
        <item x="100"/>
        <item x="92"/>
        <item x="91"/>
        <item x="94"/>
        <item x="96"/>
        <item x="95"/>
        <item x="120"/>
        <item x="98"/>
        <item x="97"/>
        <item x="118"/>
        <item x="99"/>
        <item x="101"/>
        <item x="104"/>
        <item x="105"/>
        <item x="108"/>
        <item x="103"/>
        <item x="102"/>
        <item x="109"/>
        <item x="107"/>
        <item x="232"/>
        <item x="110"/>
        <item x="111"/>
        <item x="112"/>
        <item x="115"/>
        <item x="117"/>
        <item x="116"/>
        <item x="113"/>
        <item x="121"/>
        <item x="125"/>
        <item x="119"/>
        <item x="122"/>
        <item x="147"/>
        <item x="124"/>
        <item x="126"/>
        <item x="123"/>
        <item x="127"/>
        <item x="130"/>
        <item x="128"/>
        <item x="129"/>
        <item x="179"/>
        <item x="132"/>
        <item x="156"/>
        <item x="131"/>
        <item x="133"/>
        <item x="137"/>
        <item x="135"/>
        <item x="134"/>
        <item x="136"/>
        <item x="144"/>
        <item x="138"/>
        <item x="139"/>
        <item x="141"/>
        <item x="140"/>
        <item x="143"/>
        <item x="142"/>
        <item x="146"/>
        <item x="145"/>
        <item x="152"/>
        <item x="149"/>
        <item x="150"/>
        <item x="151"/>
        <item x="154"/>
        <item x="153"/>
        <item x="159"/>
        <item x="155"/>
        <item x="206"/>
        <item x="157"/>
        <item x="158"/>
        <item x="163"/>
        <item x="161"/>
        <item x="160"/>
        <item x="162"/>
        <item x="166"/>
        <item x="177"/>
        <item x="165"/>
        <item x="164"/>
        <item x="167"/>
        <item x="168"/>
        <item x="170"/>
        <item x="172"/>
        <item x="171"/>
        <item x="175"/>
        <item x="198"/>
        <item x="174"/>
        <item x="176"/>
        <item x="173"/>
        <item x="183"/>
        <item x="225"/>
        <item x="178"/>
        <item x="180"/>
        <item x="212"/>
        <item x="200"/>
        <item x="181"/>
        <item x="182"/>
        <item x="188"/>
        <item x="184"/>
        <item x="185"/>
        <item x="186"/>
        <item x="187"/>
        <item x="189"/>
        <item x="190"/>
        <item x="192"/>
        <item x="191"/>
        <item x="193"/>
        <item x="194"/>
        <item x="195"/>
        <item x="196"/>
        <item x="197"/>
        <item x="199"/>
        <item x="203"/>
        <item x="236"/>
        <item x="201"/>
        <item x="202"/>
        <item x="204"/>
        <item x="205"/>
        <item x="208"/>
        <item x="209"/>
        <item x="207"/>
        <item x="213"/>
        <item x="210"/>
        <item x="211"/>
        <item x="227"/>
        <item x="246"/>
        <item x="216"/>
        <item x="215"/>
        <item x="214"/>
        <item x="217"/>
        <item x="218"/>
        <item x="222"/>
        <item x="219"/>
        <item x="220"/>
        <item x="221"/>
        <item x="223"/>
        <item x="308"/>
        <item x="226"/>
        <item x="259"/>
        <item x="224"/>
        <item x="228"/>
        <item x="248"/>
        <item x="230"/>
        <item x="229"/>
        <item x="231"/>
        <item x="244"/>
        <item x="293"/>
        <item x="234"/>
        <item x="233"/>
        <item x="235"/>
        <item x="237"/>
        <item x="253"/>
        <item x="238"/>
        <item x="239"/>
        <item x="240"/>
        <item x="241"/>
        <item x="243"/>
        <item x="242"/>
        <item x="249"/>
        <item x="303"/>
        <item x="245"/>
        <item x="247"/>
        <item x="250"/>
        <item x="252"/>
        <item x="254"/>
        <item x="251"/>
        <item x="313"/>
        <item x="255"/>
        <item x="296"/>
        <item x="258"/>
        <item x="257"/>
        <item x="256"/>
        <item x="262"/>
        <item x="298"/>
        <item x="261"/>
        <item x="260"/>
        <item x="265"/>
        <item x="263"/>
        <item x="264"/>
        <item x="267"/>
        <item x="266"/>
        <item x="268"/>
        <item x="271"/>
        <item x="269"/>
        <item x="270"/>
        <item x="309"/>
        <item x="273"/>
        <item x="276"/>
        <item x="272"/>
        <item x="274"/>
        <item x="275"/>
        <item x="285"/>
        <item x="279"/>
        <item x="277"/>
        <item x="278"/>
        <item x="280"/>
        <item x="284"/>
        <item x="283"/>
        <item x="282"/>
        <item x="281"/>
        <item x="288"/>
        <item x="289"/>
        <item x="286"/>
        <item x="287"/>
        <item x="306"/>
        <item x="290"/>
        <item x="312"/>
        <item x="295"/>
        <item x="292"/>
        <item x="294"/>
        <item x="291"/>
        <item x="322"/>
        <item x="305"/>
        <item x="297"/>
        <item x="301"/>
        <item x="299"/>
        <item x="334"/>
        <item x="300"/>
        <item x="302"/>
        <item x="307"/>
        <item x="304"/>
        <item x="316"/>
        <item x="317"/>
        <item x="310"/>
        <item x="330"/>
        <item x="311"/>
        <item x="314"/>
        <item x="315"/>
        <item x="320"/>
        <item x="318"/>
        <item x="321"/>
        <item x="319"/>
        <item x="328"/>
        <item x="324"/>
        <item x="323"/>
        <item x="327"/>
        <item x="325"/>
        <item x="326"/>
        <item x="333"/>
        <item x="329"/>
        <item x="332"/>
        <item x="331"/>
        <item x="336"/>
        <item x="335"/>
        <item x="337"/>
        <item x="338"/>
        <item x="340"/>
        <item x="341"/>
        <item x="339"/>
        <item x="342"/>
        <item x="343"/>
        <item x="344"/>
        <item x="345"/>
        <item x="346"/>
        <item x="347"/>
        <item x="350"/>
        <item x="348"/>
        <item x="349"/>
        <item x="351"/>
        <item x="355"/>
        <item x="353"/>
        <item x="352"/>
        <item x="354"/>
        <item x="357"/>
        <item x="356"/>
        <item x="358"/>
        <item x="361"/>
        <item x="359"/>
        <item x="360"/>
        <item x="375"/>
        <item x="362"/>
        <item x="363"/>
        <item x="364"/>
        <item x="365"/>
        <item x="369"/>
        <item x="366"/>
        <item x="367"/>
        <item x="368"/>
        <item x="370"/>
        <item x="371"/>
        <item x="373"/>
        <item x="372"/>
        <item x="374"/>
        <item x="378"/>
        <item x="376"/>
        <item x="391"/>
        <item x="395"/>
        <item x="377"/>
        <item x="387"/>
        <item x="379"/>
        <item x="380"/>
        <item x="383"/>
        <item x="381"/>
        <item x="384"/>
        <item x="385"/>
        <item x="389"/>
        <item x="382"/>
        <item x="386"/>
        <item x="399"/>
        <item x="424"/>
        <item x="412"/>
        <item x="415"/>
        <item x="390"/>
        <item x="388"/>
        <item x="392"/>
        <item x="398"/>
        <item x="393"/>
        <item x="401"/>
        <item x="394"/>
        <item x="396"/>
        <item x="405"/>
        <item x="403"/>
        <item x="397"/>
        <item x="406"/>
        <item x="400"/>
        <item x="416"/>
        <item x="402"/>
        <item x="408"/>
        <item x="404"/>
        <item x="418"/>
        <item x="407"/>
        <item x="411"/>
        <item x="414"/>
        <item x="409"/>
        <item x="410"/>
        <item x="419"/>
        <item x="413"/>
        <item x="417"/>
        <item x="420"/>
        <item x="422"/>
        <item x="430"/>
        <item x="421"/>
        <item x="423"/>
        <item x="440"/>
        <item x="441"/>
        <item x="425"/>
        <item x="427"/>
        <item x="426"/>
        <item x="429"/>
        <item x="428"/>
        <item x="432"/>
        <item x="436"/>
        <item x="438"/>
        <item x="431"/>
        <item x="434"/>
        <item x="433"/>
        <item x="435"/>
        <item x="463"/>
        <item x="437"/>
        <item x="445"/>
        <item x="439"/>
        <item x="442"/>
        <item x="443"/>
        <item x="447"/>
        <item x="460"/>
        <item x="444"/>
        <item x="446"/>
        <item x="453"/>
        <item x="607"/>
        <item x="490"/>
        <item x="448"/>
        <item x="450"/>
        <item x="449"/>
        <item x="456"/>
        <item x="451"/>
        <item x="452"/>
        <item x="455"/>
        <item x="454"/>
        <item x="457"/>
        <item x="458"/>
        <item x="459"/>
        <item x="461"/>
        <item x="494"/>
        <item x="472"/>
        <item x="465"/>
        <item x="462"/>
        <item x="464"/>
        <item x="469"/>
        <item x="466"/>
        <item x="502"/>
        <item x="467"/>
        <item x="484"/>
        <item x="476"/>
        <item x="468"/>
        <item x="470"/>
        <item x="473"/>
        <item x="471"/>
        <item x="478"/>
        <item x="475"/>
        <item x="474"/>
        <item x="487"/>
        <item x="477"/>
        <item x="524"/>
        <item x="481"/>
        <item x="480"/>
        <item x="479"/>
        <item x="491"/>
        <item x="483"/>
        <item x="485"/>
        <item x="482"/>
        <item x="488"/>
        <item x="486"/>
        <item x="538"/>
        <item x="489"/>
        <item x="493"/>
        <item x="492"/>
        <item x="499"/>
        <item x="495"/>
        <item x="531"/>
        <item x="496"/>
        <item x="510"/>
        <item x="572"/>
        <item x="501"/>
        <item x="497"/>
        <item x="498"/>
        <item x="500"/>
        <item x="512"/>
        <item x="507"/>
        <item x="568"/>
        <item x="504"/>
        <item x="503"/>
        <item x="505"/>
        <item x="506"/>
        <item x="586"/>
        <item x="511"/>
        <item x="508"/>
        <item x="509"/>
        <item x="516"/>
        <item x="514"/>
        <item x="576"/>
        <item x="513"/>
        <item x="562"/>
        <item x="515"/>
        <item x="523"/>
        <item x="517"/>
        <item x="520"/>
        <item x="519"/>
        <item x="518"/>
        <item x="522"/>
        <item x="521"/>
        <item x="534"/>
        <item x="547"/>
        <item x="540"/>
        <item x="526"/>
        <item x="525"/>
        <item x="527"/>
        <item x="529"/>
        <item x="528"/>
        <item x="539"/>
        <item x="533"/>
        <item x="530"/>
        <item x="532"/>
        <item x="535"/>
        <item x="536"/>
        <item x="537"/>
        <item x="543"/>
        <item x="544"/>
        <item x="541"/>
        <item x="606"/>
        <item x="549"/>
        <item x="542"/>
        <item x="545"/>
        <item x="560"/>
        <item x="546"/>
        <item x="548"/>
        <item x="550"/>
        <item x="551"/>
        <item x="628"/>
        <item x="553"/>
        <item x="552"/>
        <item x="555"/>
        <item x="554"/>
        <item x="558"/>
        <item x="579"/>
        <item x="556"/>
        <item x="583"/>
        <item x="557"/>
        <item x="564"/>
        <item x="566"/>
        <item x="559"/>
        <item x="561"/>
        <item x="565"/>
        <item x="563"/>
        <item x="567"/>
        <item x="569"/>
        <item x="631"/>
        <item x="571"/>
        <item x="570"/>
        <item x="609"/>
        <item x="575"/>
        <item x="574"/>
        <item x="573"/>
        <item x="577"/>
        <item x="578"/>
        <item x="603"/>
        <item x="582"/>
        <item x="590"/>
        <item x="592"/>
        <item x="581"/>
        <item x="580"/>
        <item x="585"/>
        <item x="584"/>
        <item x="598"/>
        <item x="601"/>
        <item x="587"/>
        <item x="589"/>
        <item x="591"/>
        <item x="588"/>
        <item x="593"/>
        <item x="594"/>
        <item x="597"/>
        <item x="599"/>
        <item x="595"/>
        <item x="596"/>
        <item x="602"/>
        <item x="600"/>
        <item x="623"/>
        <item x="604"/>
        <item x="605"/>
        <item x="610"/>
        <item x="608"/>
        <item x="612"/>
        <item x="611"/>
        <item x="613"/>
        <item x="614"/>
        <item x="615"/>
        <item x="616"/>
        <item x="625"/>
        <item x="714"/>
        <item x="627"/>
        <item x="617"/>
        <item x="619"/>
        <item x="618"/>
        <item x="622"/>
        <item x="620"/>
        <item x="624"/>
        <item x="621"/>
        <item x="636"/>
        <item x="629"/>
        <item x="626"/>
        <item x="642"/>
        <item x="632"/>
        <item x="630"/>
        <item x="640"/>
        <item x="633"/>
        <item x="656"/>
        <item x="641"/>
        <item x="634"/>
        <item x="637"/>
        <item x="635"/>
        <item x="638"/>
        <item x="639"/>
        <item x="653"/>
        <item x="676"/>
        <item x="645"/>
        <item x="643"/>
        <item x="646"/>
        <item x="644"/>
        <item x="648"/>
        <item x="650"/>
        <item x="647"/>
        <item x="649"/>
        <item x="659"/>
        <item x="651"/>
        <item x="654"/>
        <item x="661"/>
        <item x="658"/>
        <item x="663"/>
        <item x="655"/>
        <item x="691"/>
        <item x="652"/>
        <item x="657"/>
        <item x="667"/>
        <item x="675"/>
        <item x="662"/>
        <item x="660"/>
        <item x="665"/>
        <item x="668"/>
        <item x="664"/>
        <item x="669"/>
        <item x="666"/>
        <item x="687"/>
        <item x="671"/>
        <item x="672"/>
        <item x="670"/>
        <item x="673"/>
        <item x="674"/>
        <item x="677"/>
        <item x="712"/>
        <item x="679"/>
        <item x="678"/>
        <item x="682"/>
        <item x="683"/>
        <item x="681"/>
        <item x="680"/>
        <item x="684"/>
        <item x="742"/>
        <item x="731"/>
        <item x="686"/>
        <item x="689"/>
        <item x="685"/>
        <item x="688"/>
        <item x="701"/>
        <item x="738"/>
        <item x="693"/>
        <item x="692"/>
        <item x="699"/>
        <item x="690"/>
        <item x="703"/>
        <item x="705"/>
        <item x="695"/>
        <item x="696"/>
        <item x="694"/>
        <item x="707"/>
        <item x="702"/>
        <item x="697"/>
        <item x="698"/>
        <item x="700"/>
        <item x="704"/>
        <item x="718"/>
        <item x="706"/>
        <item x="708"/>
        <item x="709"/>
        <item x="711"/>
        <item x="710"/>
        <item x="756"/>
        <item x="713"/>
        <item x="728"/>
        <item x="730"/>
        <item x="715"/>
        <item x="784"/>
        <item x="716"/>
        <item x="717"/>
        <item x="722"/>
        <item x="720"/>
        <item x="719"/>
        <item x="721"/>
        <item x="774"/>
        <item x="723"/>
        <item x="724"/>
        <item x="726"/>
        <item x="725"/>
        <item x="727"/>
        <item x="772"/>
        <item x="729"/>
        <item x="750"/>
        <item x="732"/>
        <item x="733"/>
        <item x="734"/>
        <item x="736"/>
        <item x="777"/>
        <item x="735"/>
        <item x="739"/>
        <item x="737"/>
        <item x="749"/>
        <item x="754"/>
        <item x="744"/>
        <item x="769"/>
        <item x="741"/>
        <item x="740"/>
        <item x="743"/>
        <item x="745"/>
        <item x="748"/>
        <item x="746"/>
        <item x="747"/>
        <item x="751"/>
        <item x="760"/>
        <item x="757"/>
        <item x="759"/>
        <item x="753"/>
        <item x="752"/>
        <item x="755"/>
        <item x="813"/>
        <item x="798"/>
        <item x="787"/>
        <item x="758"/>
        <item x="761"/>
        <item x="762"/>
        <item x="763"/>
        <item x="764"/>
        <item x="770"/>
        <item x="783"/>
        <item x="773"/>
        <item x="771"/>
        <item x="810"/>
        <item x="779"/>
        <item x="775"/>
        <item x="768"/>
        <item x="767"/>
        <item x="766"/>
        <item x="765"/>
        <item x="778"/>
        <item x="776"/>
        <item x="780"/>
        <item x="794"/>
        <item x="781"/>
        <item x="782"/>
        <item x="786"/>
        <item x="793"/>
        <item x="788"/>
        <item x="785"/>
        <item x="796"/>
        <item x="790"/>
        <item x="789"/>
        <item x="791"/>
        <item x="792"/>
        <item x="808"/>
        <item x="814"/>
        <item x="795"/>
        <item x="797"/>
        <item x="799"/>
        <item x="800"/>
        <item x="803"/>
        <item x="801"/>
        <item x="802"/>
        <item x="817"/>
        <item x="804"/>
        <item x="841"/>
        <item x="812"/>
        <item x="805"/>
        <item x="806"/>
        <item x="815"/>
        <item x="807"/>
        <item x="809"/>
        <item x="827"/>
        <item x="811"/>
        <item x="844"/>
        <item x="893"/>
        <item x="823"/>
        <item x="816"/>
        <item x="819"/>
        <item x="818"/>
        <item x="820"/>
        <item x="838"/>
        <item x="826"/>
        <item x="821"/>
        <item x="822"/>
        <item x="824"/>
        <item x="855"/>
        <item x="825"/>
        <item x="828"/>
        <item x="843"/>
        <item x="829"/>
        <item x="834"/>
        <item x="831"/>
        <item x="832"/>
        <item x="833"/>
        <item x="835"/>
        <item x="830"/>
        <item x="887"/>
        <item x="836"/>
        <item x="839"/>
        <item x="837"/>
        <item x="840"/>
        <item x="876"/>
        <item x="849"/>
        <item x="845"/>
        <item x="842"/>
        <item x="864"/>
        <item x="846"/>
        <item x="848"/>
        <item x="850"/>
        <item x="847"/>
        <item x="853"/>
        <item x="851"/>
        <item x="919"/>
        <item x="860"/>
        <item x="903"/>
        <item x="852"/>
        <item x="856"/>
        <item x="854"/>
        <item x="858"/>
        <item x="857"/>
        <item x="861"/>
        <item x="859"/>
        <item x="862"/>
        <item x="863"/>
        <item x="865"/>
        <item x="866"/>
        <item x="867"/>
        <item x="879"/>
        <item x="869"/>
        <item x="868"/>
        <item x="871"/>
        <item x="870"/>
        <item x="872"/>
        <item x="874"/>
        <item x="873"/>
        <item x="875"/>
        <item x="884"/>
        <item x="877"/>
        <item x="878"/>
        <item x="913"/>
        <item x="892"/>
        <item x="882"/>
        <item x="881"/>
        <item x="880"/>
        <item x="883"/>
        <item x="885"/>
        <item x="888"/>
        <item x="949"/>
        <item x="889"/>
        <item x="886"/>
        <item x="891"/>
        <item x="890"/>
        <item x="925"/>
        <item x="896"/>
        <item x="895"/>
        <item x="939"/>
        <item x="902"/>
        <item x="894"/>
        <item x="897"/>
        <item x="900"/>
        <item x="906"/>
        <item x="945"/>
        <item x="907"/>
        <item x="898"/>
        <item x="899"/>
        <item x="905"/>
        <item x="901"/>
        <item x="904"/>
        <item x="948"/>
        <item x="914"/>
        <item x="922"/>
        <item x="908"/>
        <item x="909"/>
        <item x="911"/>
        <item x="910"/>
        <item x="917"/>
        <item x="920"/>
        <item x="912"/>
        <item x="916"/>
        <item x="915"/>
        <item x="928"/>
        <item x="951"/>
        <item x="961"/>
        <item x="974"/>
        <item x="921"/>
        <item x="918"/>
        <item x="931"/>
        <item x="924"/>
        <item x="923"/>
        <item x="926"/>
        <item x="927"/>
        <item x="930"/>
        <item x="929"/>
        <item x="934"/>
        <item x="955"/>
        <item x="935"/>
        <item x="932"/>
        <item x="933"/>
        <item x="986"/>
        <item x="962"/>
        <item x="1036"/>
        <item x="938"/>
        <item x="937"/>
        <item x="956"/>
        <item x="936"/>
        <item x="943"/>
        <item x="941"/>
        <item x="940"/>
        <item x="942"/>
        <item x="947"/>
        <item x="944"/>
        <item x="946"/>
        <item x="995"/>
        <item x="964"/>
        <item x="957"/>
        <item x="954"/>
        <item x="950"/>
        <item x="953"/>
        <item x="952"/>
        <item x="979"/>
        <item x="958"/>
        <item x="959"/>
        <item x="965"/>
        <item x="960"/>
        <item x="968"/>
        <item x="966"/>
        <item x="963"/>
        <item x="967"/>
        <item x="970"/>
        <item x="969"/>
        <item x="973"/>
        <item x="971"/>
        <item x="981"/>
        <item x="992"/>
        <item x="975"/>
        <item x="1031"/>
        <item x="972"/>
        <item x="985"/>
        <item x="982"/>
        <item x="976"/>
        <item x="977"/>
        <item x="978"/>
        <item x="980"/>
        <item x="984"/>
        <item x="983"/>
        <item x="989"/>
        <item x="1011"/>
        <item x="1048"/>
        <item x="990"/>
        <item x="987"/>
        <item x="988"/>
        <item x="994"/>
        <item x="991"/>
        <item x="1003"/>
        <item x="997"/>
        <item x="993"/>
        <item x="996"/>
        <item x="1002"/>
        <item x="1001"/>
        <item x="999"/>
        <item x="1000"/>
        <item x="1014"/>
        <item x="998"/>
        <item x="1019"/>
        <item x="1007"/>
        <item x="1027"/>
        <item x="1028"/>
        <item x="1008"/>
        <item x="1005"/>
        <item x="1004"/>
        <item x="1016"/>
        <item x="1006"/>
        <item x="1012"/>
        <item x="1020"/>
        <item x="1009"/>
        <item x="1010"/>
        <item x="1017"/>
        <item x="1013"/>
        <item x="1056"/>
        <item x="1015"/>
        <item x="1022"/>
        <item x="1058"/>
        <item x="1018"/>
        <item x="1021"/>
        <item x="1052"/>
        <item x="1023"/>
        <item x="1024"/>
        <item x="1041"/>
        <item x="1029"/>
        <item x="1073"/>
        <item x="1026"/>
        <item x="1025"/>
        <item x="1081"/>
        <item x="1034"/>
        <item x="1040"/>
        <item x="1030"/>
        <item x="1042"/>
        <item x="1035"/>
        <item x="1032"/>
        <item x="1033"/>
        <item x="1037"/>
        <item x="1039"/>
        <item x="1038"/>
        <item x="1043"/>
        <item x="1080"/>
        <item x="1044"/>
        <item x="1045"/>
        <item x="1079"/>
        <item x="1078"/>
        <item x="1068"/>
        <item x="1049"/>
        <item x="1046"/>
        <item x="1047"/>
        <item x="1050"/>
        <item x="1051"/>
        <item x="1053"/>
        <item x="1083"/>
        <item x="1062"/>
        <item x="1061"/>
        <item x="1055"/>
        <item x="1054"/>
        <item x="1057"/>
        <item x="1069"/>
        <item x="1086"/>
        <item x="1060"/>
        <item x="1059"/>
        <item x="1065"/>
        <item x="1064"/>
        <item x="1063"/>
        <item x="1149"/>
        <item x="1113"/>
        <item x="1067"/>
        <item x="1074"/>
        <item x="1066"/>
        <item x="1070"/>
        <item x="1097"/>
        <item x="1072"/>
        <item x="1071"/>
        <item x="1077"/>
        <item x="1075"/>
        <item x="1076"/>
        <item x="1082"/>
        <item x="1087"/>
        <item x="1085"/>
        <item x="1084"/>
        <item x="1118"/>
        <item x="1091"/>
        <item x="1088"/>
        <item x="1090"/>
        <item x="1089"/>
        <item x="1092"/>
        <item x="1093"/>
        <item x="1098"/>
        <item x="1094"/>
        <item x="1095"/>
        <item x="1096"/>
        <item x="1100"/>
        <item x="1106"/>
        <item x="1099"/>
        <item x="1124"/>
        <item x="1101"/>
        <item x="1102"/>
        <item x="1143"/>
        <item x="1108"/>
        <item x="1110"/>
        <item x="1103"/>
        <item x="1109"/>
        <item x="1105"/>
        <item x="1104"/>
        <item x="1107"/>
        <item x="1111"/>
        <item x="1120"/>
        <item x="1114"/>
        <item x="1116"/>
        <item x="1112"/>
        <item x="1115"/>
        <item x="1127"/>
        <item x="1126"/>
        <item x="1117"/>
        <item x="1119"/>
        <item x="1121"/>
        <item x="1167"/>
        <item x="1125"/>
        <item x="1122"/>
        <item x="1123"/>
        <item x="1166"/>
        <item x="1128"/>
        <item x="1130"/>
        <item x="1129"/>
        <item x="1133"/>
        <item x="1136"/>
        <item x="1134"/>
        <item x="1137"/>
        <item x="1132"/>
        <item x="1131"/>
        <item x="1135"/>
        <item x="1139"/>
        <item x="1138"/>
        <item x="1142"/>
        <item x="1140"/>
        <item x="1141"/>
        <item x="1145"/>
        <item x="1144"/>
        <item x="1152"/>
        <item x="1165"/>
        <item x="1161"/>
        <item x="1155"/>
        <item x="1146"/>
        <item x="1147"/>
        <item x="1151"/>
        <item x="1148"/>
        <item x="1150"/>
        <item x="1154"/>
        <item x="1153"/>
        <item x="1175"/>
        <item x="1156"/>
        <item x="1157"/>
        <item x="1159"/>
        <item x="1158"/>
        <item x="1160"/>
        <item x="1187"/>
        <item x="1162"/>
        <item x="1164"/>
        <item x="1163"/>
        <item x="1171"/>
        <item x="1172"/>
        <item x="1169"/>
        <item x="1168"/>
        <item x="1170"/>
        <item x="1173"/>
        <item x="1174"/>
        <item x="1190"/>
        <item x="1186"/>
        <item x="1176"/>
        <item x="1177"/>
        <item x="1178"/>
        <item x="1179"/>
        <item x="1180"/>
        <item x="1181"/>
        <item x="1182"/>
        <item x="1183"/>
        <item x="1184"/>
        <item x="1185"/>
        <item x="1191"/>
        <item x="1188"/>
        <item x="1189"/>
        <item x="1194"/>
        <item x="1192"/>
        <item x="1193"/>
        <item x="1195"/>
        <item x="1196"/>
        <item x="1199"/>
        <item x="1197"/>
        <item x="1198"/>
        <item x="1201"/>
        <item x="1200"/>
        <item t="default"/>
      </items>
    </pivotField>
    <pivotField numFmtId="22" showAll="0"/>
    <pivotField showAll="0"/>
    <pivotField showAll="0"/>
    <pivotField showAll="0"/>
    <pivotField axis="axisRow" showAll="0">
      <items count="18">
        <item x="5"/>
        <item x="7"/>
        <item x="15"/>
        <item x="9"/>
        <item x="12"/>
        <item x="1"/>
        <item x="8"/>
        <item x="4"/>
        <item x="11"/>
        <item x="2"/>
        <item x="6"/>
        <item x="13"/>
        <item x="10"/>
        <item x="14"/>
        <item x="16"/>
        <item x="0"/>
        <item x="3"/>
        <item t="default"/>
      </items>
    </pivotField>
    <pivotField showAll="0"/>
    <pivotField dataField="1" showAll="0"/>
    <pivotField dataField="1" showAll="0"/>
    <pivotField showAll="0">
      <items count="4">
        <item x="0"/>
        <item x="1"/>
        <item x="2"/>
        <item t="default"/>
      </items>
    </pivotField>
    <pivotField showAll="0"/>
    <pivotField showAll="0"/>
    <pivotField showAll="0"/>
    <pivotField showAll="0"/>
    <pivotField showAll="0"/>
  </pivotFields>
  <rowFields count="1">
    <field x="6"/>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Average of Risk of Death % (Model 1)" fld="8" subtotal="average" baseField="6" baseItem="0"/>
    <dataField name="Average of Risk of Death % (Model 2)" fld="9" subtotal="average" baseField="6" baseItem="0"/>
  </dataFields>
  <formats count="1">
    <format dxfId="9">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04DEF7-5846-4962-B888-DB1D9C75BC78}"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E22" firstHeaderRow="1" firstDataRow="2" firstDataCol="1"/>
  <pivotFields count="16">
    <pivotField dataField="1" showAll="0"/>
    <pivotField numFmtId="22" showAll="0">
      <items count="1203">
        <item x="6"/>
        <item x="14"/>
        <item x="20"/>
        <item x="5"/>
        <item x="19"/>
        <item x="27"/>
        <item x="17"/>
        <item x="4"/>
        <item x="1"/>
        <item x="0"/>
        <item x="2"/>
        <item x="3"/>
        <item x="9"/>
        <item x="42"/>
        <item x="8"/>
        <item x="7"/>
        <item x="13"/>
        <item x="10"/>
        <item x="11"/>
        <item x="12"/>
        <item x="15"/>
        <item x="18"/>
        <item x="16"/>
        <item x="25"/>
        <item x="21"/>
        <item x="23"/>
        <item x="24"/>
        <item x="22"/>
        <item x="26"/>
        <item x="28"/>
        <item x="80"/>
        <item x="40"/>
        <item x="71"/>
        <item x="36"/>
        <item x="29"/>
        <item x="30"/>
        <item x="31"/>
        <item x="32"/>
        <item x="33"/>
        <item x="114"/>
        <item x="35"/>
        <item x="34"/>
        <item x="86"/>
        <item x="73"/>
        <item x="37"/>
        <item x="38"/>
        <item x="43"/>
        <item x="49"/>
        <item x="39"/>
        <item x="41"/>
        <item x="63"/>
        <item x="47"/>
        <item x="46"/>
        <item x="45"/>
        <item x="44"/>
        <item x="58"/>
        <item x="78"/>
        <item x="61"/>
        <item x="50"/>
        <item x="53"/>
        <item x="48"/>
        <item x="60"/>
        <item x="52"/>
        <item x="51"/>
        <item x="57"/>
        <item x="54"/>
        <item x="56"/>
        <item x="59"/>
        <item x="55"/>
        <item x="62"/>
        <item x="65"/>
        <item x="64"/>
        <item x="66"/>
        <item x="67"/>
        <item x="169"/>
        <item x="68"/>
        <item x="69"/>
        <item x="72"/>
        <item x="70"/>
        <item x="74"/>
        <item x="75"/>
        <item x="76"/>
        <item x="79"/>
        <item x="77"/>
        <item x="81"/>
        <item x="82"/>
        <item x="84"/>
        <item x="83"/>
        <item x="106"/>
        <item x="88"/>
        <item x="148"/>
        <item x="85"/>
        <item x="87"/>
        <item x="89"/>
        <item x="90"/>
        <item x="93"/>
        <item x="100"/>
        <item x="92"/>
        <item x="91"/>
        <item x="94"/>
        <item x="96"/>
        <item x="95"/>
        <item x="120"/>
        <item x="98"/>
        <item x="97"/>
        <item x="118"/>
        <item x="99"/>
        <item x="101"/>
        <item x="104"/>
        <item x="105"/>
        <item x="108"/>
        <item x="103"/>
        <item x="102"/>
        <item x="109"/>
        <item x="107"/>
        <item x="232"/>
        <item x="110"/>
        <item x="111"/>
        <item x="112"/>
        <item x="115"/>
        <item x="117"/>
        <item x="116"/>
        <item x="113"/>
        <item x="121"/>
        <item x="125"/>
        <item x="119"/>
        <item x="122"/>
        <item x="147"/>
        <item x="124"/>
        <item x="126"/>
        <item x="123"/>
        <item x="127"/>
        <item x="130"/>
        <item x="128"/>
        <item x="129"/>
        <item x="179"/>
        <item x="132"/>
        <item x="156"/>
        <item x="131"/>
        <item x="133"/>
        <item x="137"/>
        <item x="135"/>
        <item x="134"/>
        <item x="136"/>
        <item x="144"/>
        <item x="138"/>
        <item x="139"/>
        <item x="141"/>
        <item x="140"/>
        <item x="143"/>
        <item x="142"/>
        <item x="146"/>
        <item x="145"/>
        <item x="152"/>
        <item x="149"/>
        <item x="150"/>
        <item x="151"/>
        <item x="154"/>
        <item x="153"/>
        <item x="159"/>
        <item x="155"/>
        <item x="206"/>
        <item x="157"/>
        <item x="158"/>
        <item x="163"/>
        <item x="161"/>
        <item x="160"/>
        <item x="162"/>
        <item x="166"/>
        <item x="177"/>
        <item x="165"/>
        <item x="164"/>
        <item x="167"/>
        <item x="168"/>
        <item x="170"/>
        <item x="172"/>
        <item x="171"/>
        <item x="175"/>
        <item x="198"/>
        <item x="174"/>
        <item x="176"/>
        <item x="173"/>
        <item x="183"/>
        <item x="225"/>
        <item x="178"/>
        <item x="180"/>
        <item x="212"/>
        <item x="200"/>
        <item x="181"/>
        <item x="182"/>
        <item x="188"/>
        <item x="184"/>
        <item x="185"/>
        <item x="186"/>
        <item x="187"/>
        <item x="189"/>
        <item x="190"/>
        <item x="192"/>
        <item x="191"/>
        <item x="193"/>
        <item x="194"/>
        <item x="195"/>
        <item x="196"/>
        <item x="197"/>
        <item x="199"/>
        <item x="203"/>
        <item x="236"/>
        <item x="201"/>
        <item x="202"/>
        <item x="204"/>
        <item x="205"/>
        <item x="208"/>
        <item x="209"/>
        <item x="207"/>
        <item x="213"/>
        <item x="210"/>
        <item x="211"/>
        <item x="227"/>
        <item x="246"/>
        <item x="216"/>
        <item x="215"/>
        <item x="214"/>
        <item x="217"/>
        <item x="218"/>
        <item x="222"/>
        <item x="219"/>
        <item x="220"/>
        <item x="221"/>
        <item x="223"/>
        <item x="308"/>
        <item x="226"/>
        <item x="259"/>
        <item x="224"/>
        <item x="228"/>
        <item x="248"/>
        <item x="230"/>
        <item x="229"/>
        <item x="231"/>
        <item x="244"/>
        <item x="293"/>
        <item x="234"/>
        <item x="233"/>
        <item x="235"/>
        <item x="237"/>
        <item x="253"/>
        <item x="238"/>
        <item x="239"/>
        <item x="240"/>
        <item x="241"/>
        <item x="243"/>
        <item x="242"/>
        <item x="249"/>
        <item x="303"/>
        <item x="245"/>
        <item x="247"/>
        <item x="250"/>
        <item x="252"/>
        <item x="254"/>
        <item x="251"/>
        <item x="313"/>
        <item x="255"/>
        <item x="296"/>
        <item x="258"/>
        <item x="257"/>
        <item x="256"/>
        <item x="262"/>
        <item x="298"/>
        <item x="261"/>
        <item x="260"/>
        <item x="265"/>
        <item x="263"/>
        <item x="264"/>
        <item x="267"/>
        <item x="266"/>
        <item x="268"/>
        <item x="271"/>
        <item x="269"/>
        <item x="270"/>
        <item x="309"/>
        <item x="273"/>
        <item x="276"/>
        <item x="272"/>
        <item x="274"/>
        <item x="275"/>
        <item x="285"/>
        <item x="279"/>
        <item x="277"/>
        <item x="278"/>
        <item x="280"/>
        <item x="284"/>
        <item x="283"/>
        <item x="282"/>
        <item x="281"/>
        <item x="288"/>
        <item x="289"/>
        <item x="286"/>
        <item x="287"/>
        <item x="306"/>
        <item x="290"/>
        <item x="312"/>
        <item x="295"/>
        <item x="292"/>
        <item x="294"/>
        <item x="291"/>
        <item x="322"/>
        <item x="305"/>
        <item x="297"/>
        <item x="301"/>
        <item x="299"/>
        <item x="334"/>
        <item x="300"/>
        <item x="302"/>
        <item x="307"/>
        <item x="304"/>
        <item x="316"/>
        <item x="317"/>
        <item x="310"/>
        <item x="330"/>
        <item x="311"/>
        <item x="314"/>
        <item x="315"/>
        <item x="320"/>
        <item x="318"/>
        <item x="321"/>
        <item x="319"/>
        <item x="328"/>
        <item x="324"/>
        <item x="323"/>
        <item x="327"/>
        <item x="325"/>
        <item x="326"/>
        <item x="333"/>
        <item x="329"/>
        <item x="332"/>
        <item x="331"/>
        <item x="336"/>
        <item x="335"/>
        <item x="337"/>
        <item x="338"/>
        <item x="340"/>
        <item x="341"/>
        <item x="339"/>
        <item x="342"/>
        <item x="343"/>
        <item x="344"/>
        <item x="345"/>
        <item x="346"/>
        <item x="347"/>
        <item x="350"/>
        <item x="348"/>
        <item x="349"/>
        <item x="351"/>
        <item x="355"/>
        <item x="353"/>
        <item x="352"/>
        <item x="354"/>
        <item x="357"/>
        <item x="356"/>
        <item x="358"/>
        <item x="361"/>
        <item x="359"/>
        <item x="360"/>
        <item x="375"/>
        <item x="362"/>
        <item x="363"/>
        <item x="364"/>
        <item x="365"/>
        <item x="369"/>
        <item x="366"/>
        <item x="367"/>
        <item x="368"/>
        <item x="370"/>
        <item x="371"/>
        <item x="373"/>
        <item x="372"/>
        <item x="374"/>
        <item x="378"/>
        <item x="376"/>
        <item x="391"/>
        <item x="395"/>
        <item x="377"/>
        <item x="387"/>
        <item x="379"/>
        <item x="380"/>
        <item x="383"/>
        <item x="381"/>
        <item x="384"/>
        <item x="385"/>
        <item x="389"/>
        <item x="382"/>
        <item x="386"/>
        <item x="399"/>
        <item x="424"/>
        <item x="412"/>
        <item x="415"/>
        <item x="390"/>
        <item x="388"/>
        <item x="392"/>
        <item x="398"/>
        <item x="393"/>
        <item x="401"/>
        <item x="394"/>
        <item x="396"/>
        <item x="405"/>
        <item x="403"/>
        <item x="397"/>
        <item x="406"/>
        <item x="400"/>
        <item x="416"/>
        <item x="402"/>
        <item x="408"/>
        <item x="404"/>
        <item x="418"/>
        <item x="407"/>
        <item x="411"/>
        <item x="414"/>
        <item x="409"/>
        <item x="410"/>
        <item x="419"/>
        <item x="413"/>
        <item x="417"/>
        <item x="420"/>
        <item x="422"/>
        <item x="430"/>
        <item x="421"/>
        <item x="423"/>
        <item x="440"/>
        <item x="441"/>
        <item x="425"/>
        <item x="427"/>
        <item x="426"/>
        <item x="429"/>
        <item x="428"/>
        <item x="432"/>
        <item x="436"/>
        <item x="438"/>
        <item x="431"/>
        <item x="434"/>
        <item x="433"/>
        <item x="435"/>
        <item x="463"/>
        <item x="437"/>
        <item x="445"/>
        <item x="439"/>
        <item x="442"/>
        <item x="443"/>
        <item x="447"/>
        <item x="460"/>
        <item x="444"/>
        <item x="446"/>
        <item x="453"/>
        <item x="607"/>
        <item x="490"/>
        <item x="448"/>
        <item x="450"/>
        <item x="449"/>
        <item x="456"/>
        <item x="451"/>
        <item x="452"/>
        <item x="455"/>
        <item x="454"/>
        <item x="457"/>
        <item x="458"/>
        <item x="459"/>
        <item x="461"/>
        <item x="494"/>
        <item x="472"/>
        <item x="465"/>
        <item x="462"/>
        <item x="464"/>
        <item x="469"/>
        <item x="466"/>
        <item x="502"/>
        <item x="467"/>
        <item x="484"/>
        <item x="476"/>
        <item x="468"/>
        <item x="470"/>
        <item x="473"/>
        <item x="471"/>
        <item x="478"/>
        <item x="475"/>
        <item x="474"/>
        <item x="487"/>
        <item x="477"/>
        <item x="524"/>
        <item x="481"/>
        <item x="480"/>
        <item x="479"/>
        <item x="491"/>
        <item x="483"/>
        <item x="485"/>
        <item x="482"/>
        <item x="488"/>
        <item x="486"/>
        <item x="538"/>
        <item x="489"/>
        <item x="493"/>
        <item x="492"/>
        <item x="499"/>
        <item x="495"/>
        <item x="531"/>
        <item x="496"/>
        <item x="510"/>
        <item x="572"/>
        <item x="501"/>
        <item x="497"/>
        <item x="498"/>
        <item x="500"/>
        <item x="512"/>
        <item x="507"/>
        <item x="568"/>
        <item x="504"/>
        <item x="503"/>
        <item x="505"/>
        <item x="506"/>
        <item x="586"/>
        <item x="511"/>
        <item x="508"/>
        <item x="509"/>
        <item x="516"/>
        <item x="514"/>
        <item x="576"/>
        <item x="513"/>
        <item x="562"/>
        <item x="515"/>
        <item x="523"/>
        <item x="517"/>
        <item x="520"/>
        <item x="519"/>
        <item x="518"/>
        <item x="522"/>
        <item x="521"/>
        <item x="534"/>
        <item x="547"/>
        <item x="540"/>
        <item x="526"/>
        <item x="525"/>
        <item x="527"/>
        <item x="529"/>
        <item x="528"/>
        <item x="539"/>
        <item x="533"/>
        <item x="530"/>
        <item x="532"/>
        <item x="535"/>
        <item x="536"/>
        <item x="537"/>
        <item x="543"/>
        <item x="544"/>
        <item x="541"/>
        <item x="606"/>
        <item x="549"/>
        <item x="542"/>
        <item x="545"/>
        <item x="560"/>
        <item x="546"/>
        <item x="548"/>
        <item x="550"/>
        <item x="551"/>
        <item x="628"/>
        <item x="553"/>
        <item x="552"/>
        <item x="555"/>
        <item x="554"/>
        <item x="558"/>
        <item x="579"/>
        <item x="556"/>
        <item x="583"/>
        <item x="557"/>
        <item x="564"/>
        <item x="566"/>
        <item x="559"/>
        <item x="561"/>
        <item x="565"/>
        <item x="563"/>
        <item x="567"/>
        <item x="569"/>
        <item x="631"/>
        <item x="571"/>
        <item x="570"/>
        <item x="609"/>
        <item x="575"/>
        <item x="574"/>
        <item x="573"/>
        <item x="577"/>
        <item x="578"/>
        <item x="603"/>
        <item x="582"/>
        <item x="590"/>
        <item x="592"/>
        <item x="581"/>
        <item x="580"/>
        <item x="585"/>
        <item x="584"/>
        <item x="598"/>
        <item x="601"/>
        <item x="587"/>
        <item x="589"/>
        <item x="591"/>
        <item x="588"/>
        <item x="593"/>
        <item x="594"/>
        <item x="597"/>
        <item x="599"/>
        <item x="595"/>
        <item x="596"/>
        <item x="602"/>
        <item x="600"/>
        <item x="623"/>
        <item x="604"/>
        <item x="605"/>
        <item x="610"/>
        <item x="608"/>
        <item x="612"/>
        <item x="611"/>
        <item x="613"/>
        <item x="614"/>
        <item x="615"/>
        <item x="616"/>
        <item x="625"/>
        <item x="714"/>
        <item x="627"/>
        <item x="617"/>
        <item x="619"/>
        <item x="618"/>
        <item x="622"/>
        <item x="620"/>
        <item x="624"/>
        <item x="621"/>
        <item x="636"/>
        <item x="629"/>
        <item x="626"/>
        <item x="642"/>
        <item x="632"/>
        <item x="630"/>
        <item x="640"/>
        <item x="633"/>
        <item x="656"/>
        <item x="641"/>
        <item x="634"/>
        <item x="637"/>
        <item x="635"/>
        <item x="638"/>
        <item x="639"/>
        <item x="653"/>
        <item x="676"/>
        <item x="645"/>
        <item x="643"/>
        <item x="646"/>
        <item x="644"/>
        <item x="648"/>
        <item x="650"/>
        <item x="647"/>
        <item x="649"/>
        <item x="659"/>
        <item x="651"/>
        <item x="654"/>
        <item x="661"/>
        <item x="658"/>
        <item x="663"/>
        <item x="655"/>
        <item x="691"/>
        <item x="652"/>
        <item x="657"/>
        <item x="667"/>
        <item x="675"/>
        <item x="662"/>
        <item x="660"/>
        <item x="665"/>
        <item x="668"/>
        <item x="664"/>
        <item x="669"/>
        <item x="666"/>
        <item x="687"/>
        <item x="671"/>
        <item x="672"/>
        <item x="670"/>
        <item x="673"/>
        <item x="674"/>
        <item x="677"/>
        <item x="712"/>
        <item x="679"/>
        <item x="678"/>
        <item x="682"/>
        <item x="683"/>
        <item x="681"/>
        <item x="680"/>
        <item x="684"/>
        <item x="742"/>
        <item x="731"/>
        <item x="686"/>
        <item x="689"/>
        <item x="685"/>
        <item x="688"/>
        <item x="701"/>
        <item x="738"/>
        <item x="693"/>
        <item x="692"/>
        <item x="699"/>
        <item x="690"/>
        <item x="703"/>
        <item x="705"/>
        <item x="695"/>
        <item x="696"/>
        <item x="694"/>
        <item x="707"/>
        <item x="702"/>
        <item x="697"/>
        <item x="698"/>
        <item x="700"/>
        <item x="704"/>
        <item x="718"/>
        <item x="706"/>
        <item x="708"/>
        <item x="709"/>
        <item x="711"/>
        <item x="710"/>
        <item x="756"/>
        <item x="713"/>
        <item x="728"/>
        <item x="730"/>
        <item x="715"/>
        <item x="784"/>
        <item x="716"/>
        <item x="717"/>
        <item x="722"/>
        <item x="720"/>
        <item x="719"/>
        <item x="721"/>
        <item x="774"/>
        <item x="723"/>
        <item x="724"/>
        <item x="726"/>
        <item x="725"/>
        <item x="727"/>
        <item x="772"/>
        <item x="729"/>
        <item x="750"/>
        <item x="732"/>
        <item x="733"/>
        <item x="734"/>
        <item x="736"/>
        <item x="777"/>
        <item x="735"/>
        <item x="739"/>
        <item x="737"/>
        <item x="749"/>
        <item x="754"/>
        <item x="744"/>
        <item x="769"/>
        <item x="741"/>
        <item x="740"/>
        <item x="743"/>
        <item x="745"/>
        <item x="748"/>
        <item x="746"/>
        <item x="747"/>
        <item x="751"/>
        <item x="760"/>
        <item x="757"/>
        <item x="759"/>
        <item x="753"/>
        <item x="752"/>
        <item x="755"/>
        <item x="813"/>
        <item x="798"/>
        <item x="787"/>
        <item x="758"/>
        <item x="761"/>
        <item x="762"/>
        <item x="763"/>
        <item x="764"/>
        <item x="770"/>
        <item x="783"/>
        <item x="773"/>
        <item x="771"/>
        <item x="810"/>
        <item x="779"/>
        <item x="775"/>
        <item x="768"/>
        <item x="767"/>
        <item x="766"/>
        <item x="765"/>
        <item x="778"/>
        <item x="776"/>
        <item x="780"/>
        <item x="794"/>
        <item x="781"/>
        <item x="782"/>
        <item x="786"/>
        <item x="793"/>
        <item x="788"/>
        <item x="785"/>
        <item x="796"/>
        <item x="790"/>
        <item x="789"/>
        <item x="791"/>
        <item x="792"/>
        <item x="808"/>
        <item x="814"/>
        <item x="795"/>
        <item x="797"/>
        <item x="799"/>
        <item x="800"/>
        <item x="803"/>
        <item x="801"/>
        <item x="802"/>
        <item x="817"/>
        <item x="804"/>
        <item x="841"/>
        <item x="812"/>
        <item x="805"/>
        <item x="806"/>
        <item x="815"/>
        <item x="807"/>
        <item x="809"/>
        <item x="827"/>
        <item x="811"/>
        <item x="844"/>
        <item x="893"/>
        <item x="823"/>
        <item x="816"/>
        <item x="819"/>
        <item x="818"/>
        <item x="820"/>
        <item x="838"/>
        <item x="826"/>
        <item x="821"/>
        <item x="822"/>
        <item x="824"/>
        <item x="855"/>
        <item x="825"/>
        <item x="828"/>
        <item x="843"/>
        <item x="829"/>
        <item x="834"/>
        <item x="831"/>
        <item x="832"/>
        <item x="833"/>
        <item x="835"/>
        <item x="830"/>
        <item x="887"/>
        <item x="836"/>
        <item x="839"/>
        <item x="837"/>
        <item x="840"/>
        <item x="876"/>
        <item x="849"/>
        <item x="845"/>
        <item x="842"/>
        <item x="864"/>
        <item x="846"/>
        <item x="848"/>
        <item x="850"/>
        <item x="847"/>
        <item x="853"/>
        <item x="851"/>
        <item x="919"/>
        <item x="860"/>
        <item x="903"/>
        <item x="852"/>
        <item x="856"/>
        <item x="854"/>
        <item x="858"/>
        <item x="857"/>
        <item x="861"/>
        <item x="859"/>
        <item x="862"/>
        <item x="863"/>
        <item x="865"/>
        <item x="866"/>
        <item x="867"/>
        <item x="879"/>
        <item x="869"/>
        <item x="868"/>
        <item x="871"/>
        <item x="870"/>
        <item x="872"/>
        <item x="874"/>
        <item x="873"/>
        <item x="875"/>
        <item x="884"/>
        <item x="877"/>
        <item x="878"/>
        <item x="913"/>
        <item x="892"/>
        <item x="882"/>
        <item x="881"/>
        <item x="880"/>
        <item x="883"/>
        <item x="885"/>
        <item x="888"/>
        <item x="949"/>
        <item x="889"/>
        <item x="886"/>
        <item x="891"/>
        <item x="890"/>
        <item x="925"/>
        <item x="896"/>
        <item x="895"/>
        <item x="939"/>
        <item x="902"/>
        <item x="894"/>
        <item x="897"/>
        <item x="900"/>
        <item x="906"/>
        <item x="945"/>
        <item x="907"/>
        <item x="898"/>
        <item x="899"/>
        <item x="905"/>
        <item x="901"/>
        <item x="904"/>
        <item x="948"/>
        <item x="914"/>
        <item x="922"/>
        <item x="908"/>
        <item x="909"/>
        <item x="911"/>
        <item x="910"/>
        <item x="917"/>
        <item x="920"/>
        <item x="912"/>
        <item x="916"/>
        <item x="915"/>
        <item x="928"/>
        <item x="951"/>
        <item x="961"/>
        <item x="974"/>
        <item x="921"/>
        <item x="918"/>
        <item x="931"/>
        <item x="924"/>
        <item x="923"/>
        <item x="926"/>
        <item x="927"/>
        <item x="930"/>
        <item x="929"/>
        <item x="934"/>
        <item x="955"/>
        <item x="935"/>
        <item x="932"/>
        <item x="933"/>
        <item x="986"/>
        <item x="962"/>
        <item x="1036"/>
        <item x="938"/>
        <item x="937"/>
        <item x="956"/>
        <item x="936"/>
        <item x="943"/>
        <item x="941"/>
        <item x="940"/>
        <item x="942"/>
        <item x="947"/>
        <item x="944"/>
        <item x="946"/>
        <item x="995"/>
        <item x="964"/>
        <item x="957"/>
        <item x="954"/>
        <item x="950"/>
        <item x="953"/>
        <item x="952"/>
        <item x="979"/>
        <item x="958"/>
        <item x="959"/>
        <item x="965"/>
        <item x="960"/>
        <item x="968"/>
        <item x="966"/>
        <item x="963"/>
        <item x="967"/>
        <item x="970"/>
        <item x="969"/>
        <item x="973"/>
        <item x="971"/>
        <item x="981"/>
        <item x="992"/>
        <item x="975"/>
        <item x="1031"/>
        <item x="972"/>
        <item x="985"/>
        <item x="982"/>
        <item x="976"/>
        <item x="977"/>
        <item x="978"/>
        <item x="980"/>
        <item x="984"/>
        <item x="983"/>
        <item x="989"/>
        <item x="1011"/>
        <item x="1048"/>
        <item x="990"/>
        <item x="987"/>
        <item x="988"/>
        <item x="994"/>
        <item x="991"/>
        <item x="1003"/>
        <item x="997"/>
        <item x="993"/>
        <item x="996"/>
        <item x="1002"/>
        <item x="1001"/>
        <item x="999"/>
        <item x="1000"/>
        <item x="1014"/>
        <item x="998"/>
        <item x="1019"/>
        <item x="1007"/>
        <item x="1027"/>
        <item x="1028"/>
        <item x="1008"/>
        <item x="1005"/>
        <item x="1004"/>
        <item x="1016"/>
        <item x="1006"/>
        <item x="1012"/>
        <item x="1020"/>
        <item x="1009"/>
        <item x="1010"/>
        <item x="1017"/>
        <item x="1013"/>
        <item x="1056"/>
        <item x="1015"/>
        <item x="1022"/>
        <item x="1058"/>
        <item x="1018"/>
        <item x="1021"/>
        <item x="1052"/>
        <item x="1023"/>
        <item x="1024"/>
        <item x="1041"/>
        <item x="1029"/>
        <item x="1073"/>
        <item x="1026"/>
        <item x="1025"/>
        <item x="1081"/>
        <item x="1034"/>
        <item x="1040"/>
        <item x="1030"/>
        <item x="1042"/>
        <item x="1035"/>
        <item x="1032"/>
        <item x="1033"/>
        <item x="1037"/>
        <item x="1039"/>
        <item x="1038"/>
        <item x="1043"/>
        <item x="1080"/>
        <item x="1044"/>
        <item x="1045"/>
        <item x="1079"/>
        <item x="1078"/>
        <item x="1068"/>
        <item x="1049"/>
        <item x="1046"/>
        <item x="1047"/>
        <item x="1050"/>
        <item x="1051"/>
        <item x="1053"/>
        <item x="1083"/>
        <item x="1062"/>
        <item x="1061"/>
        <item x="1055"/>
        <item x="1054"/>
        <item x="1057"/>
        <item x="1069"/>
        <item x="1086"/>
        <item x="1060"/>
        <item x="1059"/>
        <item x="1065"/>
        <item x="1064"/>
        <item x="1063"/>
        <item x="1149"/>
        <item x="1113"/>
        <item x="1067"/>
        <item x="1074"/>
        <item x="1066"/>
        <item x="1070"/>
        <item x="1097"/>
        <item x="1072"/>
        <item x="1071"/>
        <item x="1077"/>
        <item x="1075"/>
        <item x="1076"/>
        <item x="1082"/>
        <item x="1087"/>
        <item x="1085"/>
        <item x="1084"/>
        <item x="1118"/>
        <item x="1091"/>
        <item x="1088"/>
        <item x="1090"/>
        <item x="1089"/>
        <item x="1092"/>
        <item x="1093"/>
        <item x="1098"/>
        <item x="1094"/>
        <item x="1095"/>
        <item x="1096"/>
        <item x="1100"/>
        <item x="1106"/>
        <item x="1099"/>
        <item x="1124"/>
        <item x="1101"/>
        <item x="1102"/>
        <item x="1143"/>
        <item x="1108"/>
        <item x="1110"/>
        <item x="1103"/>
        <item x="1109"/>
        <item x="1105"/>
        <item x="1104"/>
        <item x="1107"/>
        <item x="1111"/>
        <item x="1120"/>
        <item x="1114"/>
        <item x="1116"/>
        <item x="1112"/>
        <item x="1115"/>
        <item x="1127"/>
        <item x="1126"/>
        <item x="1117"/>
        <item x="1119"/>
        <item x="1121"/>
        <item x="1167"/>
        <item x="1125"/>
        <item x="1122"/>
        <item x="1123"/>
        <item x="1166"/>
        <item x="1128"/>
        <item x="1130"/>
        <item x="1129"/>
        <item x="1133"/>
        <item x="1136"/>
        <item x="1134"/>
        <item x="1137"/>
        <item x="1132"/>
        <item x="1131"/>
        <item x="1135"/>
        <item x="1139"/>
        <item x="1138"/>
        <item x="1142"/>
        <item x="1140"/>
        <item x="1141"/>
        <item x="1145"/>
        <item x="1144"/>
        <item x="1152"/>
        <item x="1165"/>
        <item x="1161"/>
        <item x="1155"/>
        <item x="1146"/>
        <item x="1147"/>
        <item x="1151"/>
        <item x="1148"/>
        <item x="1150"/>
        <item x="1154"/>
        <item x="1153"/>
        <item x="1175"/>
        <item x="1156"/>
        <item x="1157"/>
        <item x="1159"/>
        <item x="1158"/>
        <item x="1160"/>
        <item x="1187"/>
        <item x="1162"/>
        <item x="1164"/>
        <item x="1163"/>
        <item x="1171"/>
        <item x="1172"/>
        <item x="1169"/>
        <item x="1168"/>
        <item x="1170"/>
        <item x="1173"/>
        <item x="1174"/>
        <item x="1190"/>
        <item x="1186"/>
        <item x="1176"/>
        <item x="1177"/>
        <item x="1178"/>
        <item x="1179"/>
        <item x="1180"/>
        <item x="1181"/>
        <item x="1182"/>
        <item x="1183"/>
        <item x="1184"/>
        <item x="1185"/>
        <item x="1191"/>
        <item x="1188"/>
        <item x="1189"/>
        <item x="1194"/>
        <item x="1192"/>
        <item x="1193"/>
        <item x="1195"/>
        <item x="1196"/>
        <item x="1199"/>
        <item x="1197"/>
        <item x="1198"/>
        <item x="1201"/>
        <item x="1200"/>
        <item t="default"/>
      </items>
    </pivotField>
    <pivotField numFmtId="22" showAll="0">
      <items count="12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t="default"/>
      </items>
    </pivotField>
    <pivotField showAll="0"/>
    <pivotField showAll="0"/>
    <pivotField showAll="0">
      <items count="8">
        <item x="4"/>
        <item x="2"/>
        <item x="3"/>
        <item x="1"/>
        <item x="5"/>
        <item x="6"/>
        <item x="0"/>
        <item t="default"/>
      </items>
    </pivotField>
    <pivotField axis="axisRow" showAll="0">
      <items count="18">
        <item x="5"/>
        <item x="7"/>
        <item x="15"/>
        <item x="9"/>
        <item x="12"/>
        <item x="1"/>
        <item x="8"/>
        <item x="4"/>
        <item x="11"/>
        <item x="2"/>
        <item x="6"/>
        <item x="13"/>
        <item x="10"/>
        <item x="14"/>
        <item x="16"/>
        <item x="0"/>
        <item x="3"/>
        <item t="default"/>
      </items>
    </pivotField>
    <pivotField showAll="0"/>
    <pivotField showAll="0"/>
    <pivotField showAll="0"/>
    <pivotField axis="axisCol" showAll="0">
      <items count="4">
        <item x="0"/>
        <item x="1"/>
        <item x="2"/>
        <item t="default"/>
      </items>
    </pivotField>
    <pivotField showAll="0"/>
    <pivotField showAll="0"/>
    <pivotField showAll="0"/>
    <pivotField showAll="0"/>
    <pivotField showAll="0"/>
  </pivotFields>
  <rowFields count="1">
    <field x="6"/>
  </rowFields>
  <rowItems count="18">
    <i>
      <x/>
    </i>
    <i>
      <x v="1"/>
    </i>
    <i>
      <x v="2"/>
    </i>
    <i>
      <x v="3"/>
    </i>
    <i>
      <x v="4"/>
    </i>
    <i>
      <x v="5"/>
    </i>
    <i>
      <x v="6"/>
    </i>
    <i>
      <x v="7"/>
    </i>
    <i>
      <x v="8"/>
    </i>
    <i>
      <x v="9"/>
    </i>
    <i>
      <x v="10"/>
    </i>
    <i>
      <x v="11"/>
    </i>
    <i>
      <x v="12"/>
    </i>
    <i>
      <x v="13"/>
    </i>
    <i>
      <x v="14"/>
    </i>
    <i>
      <x v="15"/>
    </i>
    <i>
      <x v="16"/>
    </i>
    <i t="grand">
      <x/>
    </i>
  </rowItems>
  <colFields count="1">
    <field x="10"/>
  </colFields>
  <colItems count="4">
    <i>
      <x/>
    </i>
    <i>
      <x v="1"/>
    </i>
    <i>
      <x v="2"/>
    </i>
    <i t="grand">
      <x/>
    </i>
  </colItems>
  <dataFields count="1">
    <dataField name="Count of ID Number" fld="0" subtotal="count" baseField="6" baseItem="0"/>
  </dataFields>
  <chartFormats count="6">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3" format="6" series="1">
      <pivotArea type="data" outline="0" fieldPosition="0">
        <references count="2">
          <reference field="4294967294" count="1" selected="0">
            <x v="0"/>
          </reference>
          <reference field="10" count="1" selected="0">
            <x v="0"/>
          </reference>
        </references>
      </pivotArea>
    </chartFormat>
    <chartFormat chart="3" format="7" series="1">
      <pivotArea type="data" outline="0" fieldPosition="0">
        <references count="2">
          <reference field="4294967294" count="1" selected="0">
            <x v="0"/>
          </reference>
          <reference field="10" count="1" selected="0">
            <x v="1"/>
          </reference>
        </references>
      </pivotArea>
    </chartFormat>
    <chartFormat chart="3"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ion_Type" xr10:uid="{74E223AB-4EB9-4DB6-AAEB-483369A4B59C}" sourceName="Operation Type">
  <pivotTables>
    <pivotTable tabId="5" name="PivotTable9"/>
  </pivotTables>
  <data>
    <tabular pivotCacheId="1013281256">
      <items count="7">
        <i x="4" s="1"/>
        <i x="2" s="1"/>
        <i x="3" s="1"/>
        <i x="1" s="1"/>
        <i x="5" s="1"/>
        <i x="6"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_Status_at_Discharge" xr10:uid="{025E5ADC-1454-4BD6-9D70-680AD7CDDC8D}" sourceName="Patient Status at Discharge">
  <pivotTables>
    <pivotTable tabId="5" name="PivotTable9"/>
  </pivotTables>
  <data>
    <tabular pivotCacheId="101328125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peration Type" xr10:uid="{AF0A986D-25A8-4703-9E4F-E5D643980109}" cache="Slicer_Operation_Type" caption="Operation Type" columnCount="2" showCaption="0" rowHeight="241300"/>
  <slicer name="Patient Status at Discharge" xr10:uid="{A62B33A3-1007-424E-AD3B-8C6E0C9CC6E1}" cache="Slicer_Patient_Status_at_Discharge" caption="Patient Status at Discharge"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1F49DF-8E29-43EC-B32D-9905CBB72B17}" name="Cardiac_Table" displayName="Cardiac_Table" ref="A1:P1337" totalsRowCount="1">
  <autoFilter ref="A1:P1336" xr:uid="{211F49DF-8E29-43EC-B32D-9905CBB72B17}"/>
  <tableColumns count="16">
    <tableColumn id="1" xr3:uid="{46A94231-73C9-4FEC-B120-C5A5446D9CE4}" name="ID Number" totalsRowFunction="custom">
      <totalsRowFormula>COUNT(Cardiac_Table[ID Number])</totalsRowFormula>
    </tableColumn>
    <tableColumn id="2" xr3:uid="{1CE2B6F4-FF1F-4893-A143-450D898399D8}" name="Hospital Admit Date " dataDxfId="23" totalsRowDxfId="22"/>
    <tableColumn id="3" xr3:uid="{7EE93B70-08AC-4045-99D6-473F5BE99187}" name="Procedure Start Date and Time" dataDxfId="21" totalsRowDxfId="20"/>
    <tableColumn id="4" xr3:uid="{FFEED924-CD02-42DE-B46C-63B4361B347B}" name="Location ID"/>
    <tableColumn id="5" xr3:uid="{CCE6C268-3AD2-4EC4-92C9-0178E8990741}" name="Priority"/>
    <tableColumn id="6" xr3:uid="{06B3B43D-4922-45E3-8FEC-FBA73A49649E}" name="Operation Type"/>
    <tableColumn id="7" xr3:uid="{DACBCB07-6DE9-4791-A0DB-419FD8426832}" name="Surgeon Name"/>
    <tableColumn id="8" xr3:uid="{0C58FFFF-ED4E-4B54-BA07-35D4BD0A972F}" name="Patient Age"/>
    <tableColumn id="9" xr3:uid="{FFADB8C0-4C10-40E4-908F-E00AF266A71B}" name="Risk of Death % (Model 1)"/>
    <tableColumn id="10" xr3:uid="{870097E9-FB32-4E4A-953B-F959A6614869}" name="Risk of Death % (Model 2)"/>
    <tableColumn id="11" xr3:uid="{BA73E7A2-FC47-4688-B374-EE347837F2AF}" name="Patient Status at Discharge" totalsRowFunction="custom">
      <totalsRowFormula>COUNTA(Cardiac_Table[Patient Status at Discharge])</totalsRowFormula>
    </tableColumn>
    <tableColumn id="13" xr3:uid="{9851A59B-A8A2-4FE9-8C8E-209DA13B6B81}" name="Creatinine at time of Surgery " dataDxfId="19" totalsRowDxfId="18"/>
    <tableColumn id="14" xr3:uid="{81B95635-33C7-427B-ABA0-57F80D86C581}" name="Height" dataDxfId="17" totalsRowDxfId="16"/>
    <tableColumn id="15" xr3:uid="{A5A09275-8A87-4EB2-B5BC-1AC677D4E994}" name="Weight" dataDxfId="15" totalsRowDxfId="14"/>
    <tableColumn id="20" xr3:uid="{F50EF0F8-1572-4EB0-A26A-8F519E95E307}" name="Ejection Fraction" dataDxfId="13" totalsRowDxfId="12"/>
    <tableColumn id="21" xr3:uid="{C7815B6F-52A6-495F-9F50-171370DA9383}" name="Ejection fraction category" dataDxfId="11" totalsRowDxfId="1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Hospital_Admit_Date" xr10:uid="{86081CB9-F8D3-4DD0-A413-35184B71DC78}" sourceName="Hospital Admit Date ">
  <pivotTables>
    <pivotTable tabId="5" name="PivotTable9"/>
    <pivotTable tabId="5" name="PivotTable10"/>
    <pivotTable tabId="4" name="PivotTable8"/>
  </pivotTables>
  <state minimalRefreshVersion="6" lastRefreshVersion="6" pivotCacheId="1013281256" filterType="unknown">
    <bounds startDate="2019-01-01T12:50:00" endDate="2021-01-01T06:36: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Procedure_Start_Date_and_Time" xr10:uid="{30AC746D-7203-4708-8F79-DC3C4AD9B80E}" sourceName="Procedure Start Date and Time">
  <pivotTables>
    <pivotTable tabId="5" name="PivotTable9"/>
  </pivotTables>
  <state minimalRefreshVersion="6" lastRefreshVersion="6" pivotCacheId="1013281256" filterType="unknown">
    <bounds startDate="2020-01-01T08:04:00" endDate="2021-01-01T13:33: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Hospital Admit Date " xr10:uid="{5696856D-9D18-4AA8-9DFC-8ADFB8C04294}" cache="NativeTimeline_Hospital_Admit_Date" caption="Hospital Admit Date " showHeader="0" level="2" selectionLevel="2" scrollPosition="2020-05-19T00:00:00"/>
  <timeline name="Procedure Start Date and Time" xr10:uid="{1DF00366-006A-4500-BE85-89A87ED6C2E2}" cache="NativeTimeline_Procedure_Start_Date_and_Time" caption="Procedure Start Date and Time" showHeader="0" level="2" selectionLevel="2" scrollPosition="2020-01-01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354"/>
  <sheetViews>
    <sheetView zoomScale="80" zoomScaleNormal="80" workbookViewId="0">
      <selection activeCell="K1337" sqref="K1337"/>
    </sheetView>
  </sheetViews>
  <sheetFormatPr defaultRowHeight="15" x14ac:dyDescent="0.25"/>
  <cols>
    <col min="1" max="1" width="12.42578125" bestFit="1" customWidth="1"/>
    <col min="2" max="2" width="21.140625" bestFit="1" customWidth="1"/>
    <col min="3" max="3" width="29.85546875" style="1" bestFit="1" customWidth="1"/>
    <col min="4" max="4" width="12.7109375" bestFit="1" customWidth="1"/>
    <col min="5" max="5" width="10.5703125" bestFit="1" customWidth="1"/>
    <col min="6" max="6" width="16.7109375" bestFit="1" customWidth="1"/>
    <col min="7" max="7" width="21.28515625" bestFit="1" customWidth="1"/>
    <col min="8" max="8" width="13.28515625" bestFit="1" customWidth="1"/>
    <col min="9" max="10" width="25.7109375" bestFit="1" customWidth="1"/>
    <col min="11" max="11" width="26.28515625" bestFit="1" customWidth="1"/>
    <col min="12" max="12" width="28.85546875" bestFit="1" customWidth="1"/>
    <col min="13" max="13" width="12.7109375" bestFit="1" customWidth="1"/>
    <col min="14" max="14" width="9.5703125" bestFit="1" customWidth="1"/>
    <col min="15" max="15" width="28.85546875" bestFit="1" customWidth="1"/>
    <col min="16" max="16" width="29.42578125" bestFit="1" customWidth="1"/>
  </cols>
  <sheetData>
    <row r="1" spans="1:16" x14ac:dyDescent="0.25">
      <c r="A1" t="s">
        <v>18</v>
      </c>
      <c r="B1" t="s">
        <v>40</v>
      </c>
      <c r="C1" s="1" t="s">
        <v>9</v>
      </c>
      <c r="D1" t="s">
        <v>39</v>
      </c>
      <c r="E1" t="s">
        <v>19</v>
      </c>
      <c r="F1" t="s">
        <v>37</v>
      </c>
      <c r="G1" t="s">
        <v>38</v>
      </c>
      <c r="H1" t="s">
        <v>50</v>
      </c>
      <c r="I1" t="s">
        <v>16</v>
      </c>
      <c r="J1" t="s">
        <v>17</v>
      </c>
      <c r="K1" t="s">
        <v>12</v>
      </c>
      <c r="L1" t="s">
        <v>41</v>
      </c>
      <c r="M1" t="s">
        <v>42</v>
      </c>
      <c r="N1" t="s">
        <v>43</v>
      </c>
      <c r="O1" t="s">
        <v>49</v>
      </c>
      <c r="P1" t="s">
        <v>48</v>
      </c>
    </row>
    <row r="2" spans="1:16" x14ac:dyDescent="0.25">
      <c r="A2">
        <v>2</v>
      </c>
      <c r="B2" s="2">
        <v>43831.59375</v>
      </c>
      <c r="C2" s="2">
        <v>43832.336111111108</v>
      </c>
      <c r="D2">
        <v>1</v>
      </c>
      <c r="E2" t="s">
        <v>2</v>
      </c>
      <c r="F2" t="s">
        <v>3</v>
      </c>
      <c r="G2" t="s">
        <v>30</v>
      </c>
      <c r="H2">
        <v>51</v>
      </c>
      <c r="I2">
        <v>11.54</v>
      </c>
      <c r="J2">
        <v>3.07</v>
      </c>
      <c r="K2" t="s">
        <v>15</v>
      </c>
      <c r="L2">
        <v>176</v>
      </c>
      <c r="M2">
        <v>182</v>
      </c>
      <c r="N2">
        <v>85</v>
      </c>
      <c r="O2">
        <v>35</v>
      </c>
      <c r="P2" t="s">
        <v>46</v>
      </c>
    </row>
    <row r="3" spans="1:16" x14ac:dyDescent="0.25">
      <c r="A3">
        <v>3</v>
      </c>
      <c r="B3" s="2">
        <v>43831.555555555555</v>
      </c>
      <c r="C3" s="2">
        <v>43832.336805555555</v>
      </c>
      <c r="D3">
        <v>3</v>
      </c>
      <c r="E3" t="s">
        <v>4</v>
      </c>
      <c r="F3" t="s">
        <v>3</v>
      </c>
      <c r="G3" t="s">
        <v>23</v>
      </c>
      <c r="H3">
        <v>59</v>
      </c>
      <c r="I3">
        <v>1.51</v>
      </c>
      <c r="J3">
        <v>0.75</v>
      </c>
      <c r="K3" t="s">
        <v>15</v>
      </c>
      <c r="L3">
        <v>93</v>
      </c>
      <c r="M3">
        <v>151</v>
      </c>
      <c r="N3">
        <v>87</v>
      </c>
      <c r="O3">
        <v>61</v>
      </c>
      <c r="P3" t="s">
        <v>44</v>
      </c>
    </row>
    <row r="4" spans="1:16" x14ac:dyDescent="0.25">
      <c r="A4">
        <v>4</v>
      </c>
      <c r="B4" s="2">
        <v>43831.913888888892</v>
      </c>
      <c r="C4" s="2">
        <v>43832.354861111111</v>
      </c>
      <c r="D4">
        <v>5</v>
      </c>
      <c r="E4" t="s">
        <v>2</v>
      </c>
      <c r="F4" t="s">
        <v>5</v>
      </c>
      <c r="G4" t="s">
        <v>28</v>
      </c>
      <c r="H4">
        <v>61</v>
      </c>
      <c r="I4">
        <v>18.79</v>
      </c>
      <c r="J4">
        <v>12.58</v>
      </c>
      <c r="K4" t="s">
        <v>13</v>
      </c>
      <c r="L4">
        <v>81</v>
      </c>
      <c r="M4">
        <v>180</v>
      </c>
      <c r="N4">
        <v>99</v>
      </c>
      <c r="O4">
        <v>58</v>
      </c>
      <c r="P4" t="s">
        <v>44</v>
      </c>
    </row>
    <row r="5" spans="1:16" x14ac:dyDescent="0.25">
      <c r="A5">
        <v>5</v>
      </c>
      <c r="B5" s="2">
        <v>43832.666666666664</v>
      </c>
      <c r="C5" s="2">
        <v>43833.326388888891</v>
      </c>
      <c r="D5">
        <v>5</v>
      </c>
      <c r="E5" t="s">
        <v>4</v>
      </c>
      <c r="F5" t="s">
        <v>3</v>
      </c>
      <c r="G5" t="s">
        <v>29</v>
      </c>
      <c r="H5">
        <v>62</v>
      </c>
      <c r="I5">
        <v>6.61</v>
      </c>
      <c r="J5">
        <v>11.54</v>
      </c>
      <c r="K5" t="s">
        <v>15</v>
      </c>
      <c r="L5">
        <v>110</v>
      </c>
      <c r="M5">
        <v>185</v>
      </c>
      <c r="N5">
        <v>82</v>
      </c>
      <c r="O5">
        <v>60</v>
      </c>
      <c r="P5" t="s">
        <v>44</v>
      </c>
    </row>
    <row r="6" spans="1:16" x14ac:dyDescent="0.25">
      <c r="A6">
        <v>6</v>
      </c>
      <c r="B6" s="2">
        <v>43831.458333333336</v>
      </c>
      <c r="C6" s="2">
        <v>43833.331250000003</v>
      </c>
      <c r="D6">
        <v>3</v>
      </c>
      <c r="E6" t="s">
        <v>6</v>
      </c>
      <c r="F6" t="s">
        <v>10</v>
      </c>
      <c r="G6" t="s">
        <v>23</v>
      </c>
      <c r="H6">
        <v>57</v>
      </c>
      <c r="I6">
        <v>1.51</v>
      </c>
      <c r="J6">
        <v>0.8</v>
      </c>
      <c r="K6" t="s">
        <v>15</v>
      </c>
      <c r="L6">
        <v>77</v>
      </c>
      <c r="M6">
        <v>157</v>
      </c>
      <c r="N6">
        <v>57</v>
      </c>
      <c r="O6">
        <v>64</v>
      </c>
      <c r="P6" t="s">
        <v>44</v>
      </c>
    </row>
    <row r="7" spans="1:16" x14ac:dyDescent="0.25">
      <c r="A7">
        <v>7</v>
      </c>
      <c r="B7" s="2">
        <v>43827.399305555555</v>
      </c>
      <c r="C7" s="2">
        <v>43833.34097222222</v>
      </c>
      <c r="D7">
        <v>6</v>
      </c>
      <c r="E7" t="s">
        <v>6</v>
      </c>
      <c r="F7" t="s">
        <v>3</v>
      </c>
      <c r="G7" t="s">
        <v>26</v>
      </c>
      <c r="H7">
        <v>70</v>
      </c>
      <c r="I7">
        <v>3.08</v>
      </c>
      <c r="J7">
        <v>1.23</v>
      </c>
      <c r="K7" t="s">
        <v>15</v>
      </c>
      <c r="L7">
        <v>98</v>
      </c>
      <c r="M7">
        <v>173</v>
      </c>
      <c r="N7">
        <v>105</v>
      </c>
      <c r="O7">
        <v>40</v>
      </c>
      <c r="P7" t="s">
        <v>46</v>
      </c>
    </row>
    <row r="8" spans="1:16" x14ac:dyDescent="0.25">
      <c r="A8">
        <v>8</v>
      </c>
      <c r="B8" s="2">
        <v>43821.534722222219</v>
      </c>
      <c r="C8" s="2">
        <v>43833.618055555555</v>
      </c>
      <c r="D8">
        <v>3</v>
      </c>
      <c r="E8" t="s">
        <v>6</v>
      </c>
      <c r="F8" t="s">
        <v>10</v>
      </c>
      <c r="G8" t="s">
        <v>23</v>
      </c>
      <c r="H8">
        <v>74</v>
      </c>
      <c r="I8">
        <v>5.96</v>
      </c>
      <c r="J8">
        <v>2.2999999999999998</v>
      </c>
      <c r="K8" t="s">
        <v>15</v>
      </c>
      <c r="L8">
        <v>91</v>
      </c>
      <c r="M8">
        <v>167</v>
      </c>
      <c r="N8">
        <v>82</v>
      </c>
      <c r="O8">
        <v>65</v>
      </c>
      <c r="P8" t="s">
        <v>44</v>
      </c>
    </row>
    <row r="9" spans="1:16" x14ac:dyDescent="0.25">
      <c r="A9">
        <v>9</v>
      </c>
      <c r="B9" s="2">
        <v>43833.666666666664</v>
      </c>
      <c r="C9" s="2">
        <v>43834.32916666667</v>
      </c>
      <c r="D9">
        <v>2</v>
      </c>
      <c r="E9" t="s">
        <v>4</v>
      </c>
      <c r="F9" t="s">
        <v>10</v>
      </c>
      <c r="G9" t="s">
        <v>30</v>
      </c>
      <c r="H9">
        <v>75</v>
      </c>
      <c r="I9">
        <v>2.52</v>
      </c>
      <c r="J9">
        <v>0.77</v>
      </c>
      <c r="K9" t="s">
        <v>15</v>
      </c>
      <c r="L9">
        <v>102</v>
      </c>
      <c r="M9">
        <v>177</v>
      </c>
      <c r="N9">
        <v>97</v>
      </c>
      <c r="O9">
        <v>55</v>
      </c>
      <c r="P9" t="s">
        <v>44</v>
      </c>
    </row>
    <row r="10" spans="1:16" x14ac:dyDescent="0.25">
      <c r="A10">
        <v>10</v>
      </c>
      <c r="B10" s="2">
        <v>43833.666666666664</v>
      </c>
      <c r="C10" s="2">
        <v>43834.34375</v>
      </c>
      <c r="D10">
        <v>5</v>
      </c>
      <c r="E10" t="s">
        <v>4</v>
      </c>
      <c r="F10" t="s">
        <v>3</v>
      </c>
      <c r="G10" t="s">
        <v>20</v>
      </c>
      <c r="H10">
        <v>78</v>
      </c>
      <c r="I10">
        <v>10.29</v>
      </c>
      <c r="J10">
        <v>4.84</v>
      </c>
      <c r="K10" t="s">
        <v>15</v>
      </c>
      <c r="L10">
        <v>79</v>
      </c>
      <c r="M10">
        <v>183</v>
      </c>
      <c r="N10">
        <v>117</v>
      </c>
      <c r="O10">
        <v>55</v>
      </c>
      <c r="P10" t="s">
        <v>44</v>
      </c>
    </row>
    <row r="11" spans="1:16" x14ac:dyDescent="0.25">
      <c r="A11">
        <v>11</v>
      </c>
      <c r="B11" s="2">
        <v>43833.65</v>
      </c>
      <c r="C11" s="2">
        <v>43834.51458333333</v>
      </c>
      <c r="D11">
        <v>2</v>
      </c>
      <c r="E11" t="s">
        <v>4</v>
      </c>
      <c r="F11" t="s">
        <v>10</v>
      </c>
      <c r="G11" t="s">
        <v>30</v>
      </c>
      <c r="H11">
        <v>59</v>
      </c>
      <c r="I11">
        <v>0.88</v>
      </c>
      <c r="J11">
        <v>0.96</v>
      </c>
      <c r="K11" t="s">
        <v>15</v>
      </c>
      <c r="L11">
        <v>80</v>
      </c>
      <c r="M11">
        <v>173</v>
      </c>
      <c r="N11">
        <v>93</v>
      </c>
      <c r="O11">
        <v>58</v>
      </c>
      <c r="P11" t="s">
        <v>44</v>
      </c>
    </row>
    <row r="12" spans="1:16" x14ac:dyDescent="0.25">
      <c r="A12">
        <v>12</v>
      </c>
      <c r="B12" s="2">
        <v>43833.5625</v>
      </c>
      <c r="C12" s="2">
        <v>43834.532638888886</v>
      </c>
      <c r="D12">
        <v>5</v>
      </c>
      <c r="E12" t="s">
        <v>4</v>
      </c>
      <c r="F12" t="s">
        <v>3</v>
      </c>
      <c r="G12" t="s">
        <v>20</v>
      </c>
      <c r="H12">
        <v>72</v>
      </c>
      <c r="I12">
        <v>8.3000000000000007</v>
      </c>
      <c r="J12">
        <v>3.75</v>
      </c>
      <c r="K12" t="s">
        <v>15</v>
      </c>
      <c r="L12">
        <v>81</v>
      </c>
      <c r="M12">
        <v>174</v>
      </c>
      <c r="N12">
        <v>103</v>
      </c>
      <c r="O12">
        <v>50</v>
      </c>
      <c r="P12" t="s">
        <v>46</v>
      </c>
    </row>
    <row r="13" spans="1:16" x14ac:dyDescent="0.25">
      <c r="A13">
        <v>13</v>
      </c>
      <c r="B13" s="2">
        <v>43835.57708333333</v>
      </c>
      <c r="C13" s="2">
        <v>43836.326388888891</v>
      </c>
      <c r="D13">
        <v>3</v>
      </c>
      <c r="E13" t="s">
        <v>4</v>
      </c>
      <c r="F13" t="s">
        <v>10</v>
      </c>
      <c r="G13" t="s">
        <v>29</v>
      </c>
      <c r="H13">
        <v>44</v>
      </c>
      <c r="I13">
        <v>2.02</v>
      </c>
      <c r="J13">
        <v>0.64</v>
      </c>
      <c r="K13" t="s">
        <v>15</v>
      </c>
      <c r="L13">
        <v>81</v>
      </c>
      <c r="M13">
        <v>169</v>
      </c>
      <c r="N13">
        <v>86</v>
      </c>
      <c r="O13">
        <v>52</v>
      </c>
      <c r="P13" t="s">
        <v>44</v>
      </c>
    </row>
    <row r="14" spans="1:16" x14ac:dyDescent="0.25">
      <c r="A14">
        <v>14</v>
      </c>
      <c r="B14" s="2">
        <v>43835.583333333336</v>
      </c>
      <c r="C14" s="2">
        <v>43836.337500000001</v>
      </c>
      <c r="D14">
        <v>6</v>
      </c>
      <c r="E14" t="s">
        <v>4</v>
      </c>
      <c r="F14" t="s">
        <v>10</v>
      </c>
      <c r="G14" t="s">
        <v>33</v>
      </c>
      <c r="H14">
        <v>62</v>
      </c>
      <c r="I14">
        <v>1.07</v>
      </c>
      <c r="J14">
        <v>0.59</v>
      </c>
      <c r="K14" t="s">
        <v>15</v>
      </c>
      <c r="L14">
        <v>160</v>
      </c>
      <c r="M14">
        <v>176</v>
      </c>
      <c r="N14">
        <v>70</v>
      </c>
      <c r="O14">
        <v>60</v>
      </c>
      <c r="P14" t="s">
        <v>44</v>
      </c>
    </row>
    <row r="15" spans="1:16" x14ac:dyDescent="0.25">
      <c r="A15">
        <v>15</v>
      </c>
      <c r="B15" s="2">
        <v>43836.290277777778</v>
      </c>
      <c r="C15" s="2">
        <v>43836.375</v>
      </c>
      <c r="D15">
        <v>2</v>
      </c>
      <c r="E15" t="s">
        <v>4</v>
      </c>
      <c r="F15" t="s">
        <v>10</v>
      </c>
      <c r="G15" t="s">
        <v>21</v>
      </c>
      <c r="H15">
        <v>72</v>
      </c>
      <c r="I15">
        <v>3.35</v>
      </c>
      <c r="J15">
        <v>1.1499999999999999</v>
      </c>
      <c r="K15" t="s">
        <v>15</v>
      </c>
      <c r="L15">
        <v>127</v>
      </c>
      <c r="M15">
        <v>180</v>
      </c>
      <c r="N15">
        <v>97</v>
      </c>
      <c r="O15">
        <v>70</v>
      </c>
      <c r="P15" t="s">
        <v>44</v>
      </c>
    </row>
    <row r="16" spans="1:16" x14ac:dyDescent="0.25">
      <c r="A16">
        <v>16</v>
      </c>
      <c r="B16" s="2">
        <v>43835.583333333336</v>
      </c>
      <c r="C16" s="2">
        <v>43836.444444444445</v>
      </c>
      <c r="D16">
        <v>5</v>
      </c>
      <c r="E16" t="s">
        <v>4</v>
      </c>
      <c r="F16" t="s">
        <v>3</v>
      </c>
      <c r="G16" t="s">
        <v>20</v>
      </c>
      <c r="H16">
        <v>65</v>
      </c>
      <c r="I16">
        <v>6.42</v>
      </c>
      <c r="J16">
        <v>1.83</v>
      </c>
      <c r="K16" t="s">
        <v>15</v>
      </c>
      <c r="L16">
        <v>78</v>
      </c>
      <c r="M16">
        <v>182</v>
      </c>
      <c r="N16">
        <v>115</v>
      </c>
      <c r="O16">
        <v>55</v>
      </c>
      <c r="P16" t="s">
        <v>44</v>
      </c>
    </row>
    <row r="17" spans="1:16" x14ac:dyDescent="0.25">
      <c r="A17">
        <v>17</v>
      </c>
      <c r="B17" s="2">
        <v>43835.458333333336</v>
      </c>
      <c r="C17" s="2">
        <v>43836.599305555559</v>
      </c>
      <c r="D17">
        <v>3</v>
      </c>
      <c r="E17" t="s">
        <v>6</v>
      </c>
      <c r="F17" t="s">
        <v>10</v>
      </c>
      <c r="G17" t="s">
        <v>29</v>
      </c>
      <c r="H17">
        <v>78</v>
      </c>
      <c r="I17">
        <v>5.16</v>
      </c>
      <c r="J17">
        <v>1.48</v>
      </c>
      <c r="K17" t="s">
        <v>15</v>
      </c>
      <c r="L17">
        <v>62</v>
      </c>
      <c r="M17">
        <v>170</v>
      </c>
      <c r="N17">
        <v>87</v>
      </c>
      <c r="O17">
        <v>45</v>
      </c>
      <c r="P17" t="s">
        <v>46</v>
      </c>
    </row>
    <row r="18" spans="1:16" x14ac:dyDescent="0.25">
      <c r="A18">
        <v>18</v>
      </c>
      <c r="B18" s="2">
        <v>43823.577777777777</v>
      </c>
      <c r="C18" s="2">
        <v>43836.614583333336</v>
      </c>
      <c r="D18">
        <v>2</v>
      </c>
      <c r="E18" t="s">
        <v>6</v>
      </c>
      <c r="F18" t="s">
        <v>10</v>
      </c>
      <c r="G18" t="s">
        <v>21</v>
      </c>
      <c r="H18">
        <v>73</v>
      </c>
      <c r="I18">
        <v>2.21</v>
      </c>
      <c r="J18">
        <v>1.73</v>
      </c>
      <c r="K18" t="s">
        <v>15</v>
      </c>
      <c r="L18">
        <v>84</v>
      </c>
      <c r="M18">
        <v>150</v>
      </c>
      <c r="N18">
        <v>48</v>
      </c>
      <c r="O18">
        <v>49</v>
      </c>
      <c r="P18" t="s">
        <v>46</v>
      </c>
    </row>
    <row r="19" spans="1:16" x14ac:dyDescent="0.25">
      <c r="A19">
        <v>19</v>
      </c>
      <c r="B19" s="2">
        <v>43836.458333333336</v>
      </c>
      <c r="C19" s="2">
        <v>43837.322916666664</v>
      </c>
      <c r="D19">
        <v>5</v>
      </c>
      <c r="E19" t="s">
        <v>6</v>
      </c>
      <c r="F19" t="s">
        <v>10</v>
      </c>
      <c r="G19" t="s">
        <v>26</v>
      </c>
      <c r="H19">
        <v>85</v>
      </c>
      <c r="I19">
        <v>11.62</v>
      </c>
      <c r="J19">
        <v>8.48</v>
      </c>
      <c r="K19" t="s">
        <v>15</v>
      </c>
      <c r="L19">
        <v>82</v>
      </c>
      <c r="M19">
        <v>174</v>
      </c>
      <c r="N19">
        <v>103</v>
      </c>
      <c r="O19">
        <v>55</v>
      </c>
      <c r="P19" t="s">
        <v>44</v>
      </c>
    </row>
    <row r="20" spans="1:16" x14ac:dyDescent="0.25">
      <c r="A20">
        <v>20</v>
      </c>
      <c r="B20" s="2">
        <v>43836.584027777775</v>
      </c>
      <c r="C20" s="2">
        <v>43837.334722222222</v>
      </c>
      <c r="D20">
        <v>2</v>
      </c>
      <c r="E20" t="s">
        <v>4</v>
      </c>
      <c r="F20" t="s">
        <v>11</v>
      </c>
      <c r="G20" t="s">
        <v>28</v>
      </c>
      <c r="H20">
        <v>76</v>
      </c>
      <c r="I20">
        <v>4.53</v>
      </c>
      <c r="J20">
        <v>3.48</v>
      </c>
      <c r="K20" t="s">
        <v>15</v>
      </c>
      <c r="L20">
        <v>90</v>
      </c>
      <c r="M20">
        <v>188</v>
      </c>
      <c r="N20">
        <v>85</v>
      </c>
      <c r="O20">
        <v>43</v>
      </c>
      <c r="P20" t="s">
        <v>46</v>
      </c>
    </row>
    <row r="21" spans="1:16" x14ac:dyDescent="0.25">
      <c r="A21">
        <v>21</v>
      </c>
      <c r="B21" s="2">
        <v>43830.458333333336</v>
      </c>
      <c r="C21" s="2">
        <v>43837.336805555555</v>
      </c>
      <c r="D21">
        <v>3</v>
      </c>
      <c r="E21" t="s">
        <v>6</v>
      </c>
      <c r="F21" t="s">
        <v>11</v>
      </c>
      <c r="G21" t="s">
        <v>23</v>
      </c>
      <c r="H21">
        <v>83</v>
      </c>
      <c r="I21">
        <v>13.8</v>
      </c>
      <c r="J21">
        <v>8.5</v>
      </c>
      <c r="K21" t="s">
        <v>15</v>
      </c>
      <c r="L21">
        <v>80</v>
      </c>
      <c r="M21">
        <v>173</v>
      </c>
      <c r="N21">
        <v>100</v>
      </c>
      <c r="O21">
        <v>60</v>
      </c>
      <c r="P21" t="s">
        <v>44</v>
      </c>
    </row>
    <row r="22" spans="1:16" x14ac:dyDescent="0.25">
      <c r="A22">
        <v>22</v>
      </c>
      <c r="B22" s="2">
        <v>43836.581944444442</v>
      </c>
      <c r="C22" s="2">
        <v>43837.354166666664</v>
      </c>
      <c r="D22">
        <v>6</v>
      </c>
      <c r="E22" t="s">
        <v>4</v>
      </c>
      <c r="F22" t="s">
        <v>3</v>
      </c>
      <c r="G22" t="s">
        <v>20</v>
      </c>
      <c r="H22">
        <v>72</v>
      </c>
      <c r="I22">
        <v>5.62</v>
      </c>
      <c r="J22">
        <v>1.62</v>
      </c>
      <c r="K22" t="s">
        <v>15</v>
      </c>
      <c r="L22">
        <v>71</v>
      </c>
      <c r="M22">
        <v>176</v>
      </c>
      <c r="N22">
        <v>88</v>
      </c>
      <c r="O22">
        <v>45</v>
      </c>
      <c r="P22" t="s">
        <v>46</v>
      </c>
    </row>
    <row r="23" spans="1:16" x14ac:dyDescent="0.25">
      <c r="A23">
        <v>23</v>
      </c>
      <c r="B23" s="2">
        <v>43830.458333333336</v>
      </c>
      <c r="C23" s="2">
        <v>43837.618750000001</v>
      </c>
      <c r="D23">
        <v>6</v>
      </c>
      <c r="E23" t="s">
        <v>6</v>
      </c>
      <c r="F23" t="s">
        <v>11</v>
      </c>
      <c r="G23" t="s">
        <v>20</v>
      </c>
      <c r="H23">
        <v>69</v>
      </c>
      <c r="I23">
        <v>4.6500000000000004</v>
      </c>
      <c r="J23">
        <v>2.4500000000000002</v>
      </c>
      <c r="K23" t="s">
        <v>15</v>
      </c>
      <c r="L23">
        <v>91</v>
      </c>
      <c r="M23">
        <v>157</v>
      </c>
      <c r="N23">
        <v>59</v>
      </c>
      <c r="O23">
        <v>58</v>
      </c>
      <c r="P23" t="s">
        <v>44</v>
      </c>
    </row>
    <row r="24" spans="1:16" x14ac:dyDescent="0.25">
      <c r="A24">
        <v>24</v>
      </c>
      <c r="B24" s="2">
        <v>43828.423611111109</v>
      </c>
      <c r="C24" s="2">
        <v>43838.326388888891</v>
      </c>
      <c r="D24">
        <v>3</v>
      </c>
      <c r="E24" t="s">
        <v>6</v>
      </c>
      <c r="F24" t="s">
        <v>10</v>
      </c>
      <c r="G24" t="s">
        <v>21</v>
      </c>
      <c r="H24">
        <v>79</v>
      </c>
      <c r="I24">
        <v>8.1300000000000008</v>
      </c>
      <c r="J24">
        <v>2.5099999999999998</v>
      </c>
      <c r="K24" t="s">
        <v>15</v>
      </c>
      <c r="L24">
        <v>103</v>
      </c>
      <c r="M24">
        <v>174</v>
      </c>
      <c r="N24">
        <v>90</v>
      </c>
      <c r="O24">
        <v>47</v>
      </c>
      <c r="P24" t="s">
        <v>46</v>
      </c>
    </row>
    <row r="25" spans="1:16" x14ac:dyDescent="0.25">
      <c r="A25">
        <v>25</v>
      </c>
      <c r="B25" s="2">
        <v>43824.572916666664</v>
      </c>
      <c r="C25" s="2">
        <v>43838.333333333336</v>
      </c>
      <c r="D25">
        <v>6</v>
      </c>
      <c r="E25" t="s">
        <v>6</v>
      </c>
      <c r="F25" t="s">
        <v>11</v>
      </c>
      <c r="G25" t="s">
        <v>20</v>
      </c>
      <c r="H25">
        <v>75</v>
      </c>
      <c r="I25">
        <v>4.25</v>
      </c>
      <c r="J25">
        <v>1.8</v>
      </c>
      <c r="K25" t="s">
        <v>15</v>
      </c>
      <c r="L25">
        <v>99</v>
      </c>
      <c r="M25">
        <v>165</v>
      </c>
      <c r="N25">
        <v>70</v>
      </c>
      <c r="O25">
        <v>45</v>
      </c>
      <c r="P25" t="s">
        <v>46</v>
      </c>
    </row>
    <row r="26" spans="1:16" x14ac:dyDescent="0.25">
      <c r="A26">
        <v>26</v>
      </c>
      <c r="B26" s="2">
        <v>43837.450694444444</v>
      </c>
      <c r="C26" s="2">
        <v>43838.345833333333</v>
      </c>
      <c r="D26">
        <v>5</v>
      </c>
      <c r="E26" t="s">
        <v>4</v>
      </c>
      <c r="F26" t="s">
        <v>3</v>
      </c>
      <c r="G26" t="s">
        <v>35</v>
      </c>
      <c r="H26">
        <v>74</v>
      </c>
      <c r="I26">
        <v>8.08</v>
      </c>
      <c r="J26">
        <v>1.9</v>
      </c>
      <c r="K26" t="s">
        <v>15</v>
      </c>
      <c r="L26">
        <v>76</v>
      </c>
      <c r="M26">
        <v>168</v>
      </c>
      <c r="N26">
        <v>73</v>
      </c>
      <c r="O26">
        <v>45</v>
      </c>
      <c r="P26" t="s">
        <v>46</v>
      </c>
    </row>
    <row r="27" spans="1:16" x14ac:dyDescent="0.25">
      <c r="A27">
        <v>27</v>
      </c>
      <c r="B27" s="2">
        <v>43838.338888888888</v>
      </c>
      <c r="C27" s="2">
        <v>43838.580555555556</v>
      </c>
      <c r="D27">
        <v>5</v>
      </c>
      <c r="E27" t="s">
        <v>4</v>
      </c>
      <c r="F27" t="s">
        <v>3</v>
      </c>
      <c r="G27" t="s">
        <v>35</v>
      </c>
      <c r="H27">
        <v>59</v>
      </c>
      <c r="I27">
        <v>2.44</v>
      </c>
      <c r="J27">
        <v>0.67</v>
      </c>
      <c r="K27" t="s">
        <v>15</v>
      </c>
      <c r="L27">
        <v>89</v>
      </c>
      <c r="M27">
        <v>170</v>
      </c>
      <c r="N27">
        <v>120</v>
      </c>
      <c r="O27">
        <v>58</v>
      </c>
      <c r="P27" t="s">
        <v>44</v>
      </c>
    </row>
    <row r="28" spans="1:16" x14ac:dyDescent="0.25">
      <c r="A28">
        <v>28</v>
      </c>
      <c r="B28" s="2">
        <v>43837.572222222225</v>
      </c>
      <c r="C28" s="2">
        <v>43838.581250000003</v>
      </c>
      <c r="D28">
        <v>2</v>
      </c>
      <c r="E28" t="s">
        <v>4</v>
      </c>
      <c r="F28" t="s">
        <v>3</v>
      </c>
      <c r="G28" t="s">
        <v>28</v>
      </c>
      <c r="H28">
        <v>68</v>
      </c>
      <c r="I28">
        <v>2.71</v>
      </c>
      <c r="J28">
        <v>0.63</v>
      </c>
      <c r="K28" t="s">
        <v>15</v>
      </c>
      <c r="L28">
        <v>80</v>
      </c>
      <c r="M28">
        <v>177</v>
      </c>
      <c r="N28">
        <v>88</v>
      </c>
      <c r="O28">
        <v>55</v>
      </c>
      <c r="P28" t="s">
        <v>44</v>
      </c>
    </row>
    <row r="29" spans="1:16" x14ac:dyDescent="0.25">
      <c r="A29">
        <v>29</v>
      </c>
      <c r="B29" s="2">
        <v>43838.336805555555</v>
      </c>
      <c r="C29" s="2">
        <v>43838.604166666664</v>
      </c>
      <c r="D29">
        <v>6</v>
      </c>
      <c r="E29" t="s">
        <v>4</v>
      </c>
      <c r="F29" t="s">
        <v>3</v>
      </c>
      <c r="G29" t="s">
        <v>20</v>
      </c>
      <c r="H29">
        <v>75</v>
      </c>
      <c r="I29">
        <v>11.71</v>
      </c>
      <c r="J29">
        <v>4.07</v>
      </c>
      <c r="K29" t="s">
        <v>15</v>
      </c>
      <c r="L29">
        <v>72</v>
      </c>
      <c r="M29">
        <v>172</v>
      </c>
      <c r="N29">
        <v>80</v>
      </c>
      <c r="O29">
        <v>52</v>
      </c>
      <c r="P29" t="s">
        <v>44</v>
      </c>
    </row>
    <row r="30" spans="1:16" x14ac:dyDescent="0.25">
      <c r="A30">
        <v>30</v>
      </c>
      <c r="B30" s="2">
        <v>43836.75</v>
      </c>
      <c r="C30" s="2">
        <v>43838.67291666667</v>
      </c>
      <c r="D30">
        <v>3</v>
      </c>
      <c r="E30" t="s">
        <v>6</v>
      </c>
      <c r="F30" t="s">
        <v>10</v>
      </c>
      <c r="G30" t="s">
        <v>21</v>
      </c>
      <c r="H30">
        <v>80</v>
      </c>
      <c r="I30">
        <v>13.41</v>
      </c>
      <c r="J30">
        <v>2.56</v>
      </c>
      <c r="K30" t="s">
        <v>15</v>
      </c>
      <c r="L30">
        <v>80</v>
      </c>
      <c r="M30">
        <v>17.5</v>
      </c>
      <c r="N30">
        <v>81</v>
      </c>
      <c r="O30">
        <v>55</v>
      </c>
      <c r="P30" t="s">
        <v>44</v>
      </c>
    </row>
    <row r="31" spans="1:16" x14ac:dyDescent="0.25">
      <c r="A31">
        <v>31</v>
      </c>
      <c r="B31" s="2">
        <v>43838.57708333333</v>
      </c>
      <c r="C31" s="2">
        <v>43839.336805555555</v>
      </c>
      <c r="D31">
        <v>6</v>
      </c>
      <c r="E31" t="s">
        <v>4</v>
      </c>
      <c r="F31" t="s">
        <v>1</v>
      </c>
      <c r="G31" t="s">
        <v>22</v>
      </c>
      <c r="H31">
        <v>75</v>
      </c>
      <c r="I31">
        <v>45.85</v>
      </c>
      <c r="J31">
        <v>19.77</v>
      </c>
      <c r="K31" t="s">
        <v>13</v>
      </c>
      <c r="L31">
        <v>81</v>
      </c>
      <c r="M31">
        <v>180</v>
      </c>
      <c r="N31">
        <v>104</v>
      </c>
      <c r="O31">
        <v>60</v>
      </c>
      <c r="P31" t="s">
        <v>44</v>
      </c>
    </row>
    <row r="32" spans="1:16" x14ac:dyDescent="0.25">
      <c r="A32">
        <v>32</v>
      </c>
      <c r="B32" s="2">
        <v>43830.427083333336</v>
      </c>
      <c r="C32" s="2">
        <v>43839.342361111114</v>
      </c>
      <c r="D32">
        <v>5</v>
      </c>
      <c r="E32" t="s">
        <v>6</v>
      </c>
      <c r="F32" t="s">
        <v>10</v>
      </c>
      <c r="G32" t="s">
        <v>34</v>
      </c>
      <c r="H32">
        <v>79</v>
      </c>
      <c r="I32">
        <v>5.5</v>
      </c>
      <c r="J32">
        <v>1.52</v>
      </c>
      <c r="K32" t="s">
        <v>15</v>
      </c>
      <c r="L32">
        <v>180</v>
      </c>
      <c r="M32">
        <v>178</v>
      </c>
      <c r="N32">
        <v>86</v>
      </c>
      <c r="O32">
        <v>61</v>
      </c>
      <c r="P32" t="s">
        <v>44</v>
      </c>
    </row>
    <row r="33" spans="1:16" x14ac:dyDescent="0.25">
      <c r="A33">
        <v>33</v>
      </c>
      <c r="B33" s="2">
        <v>43838.589583333334</v>
      </c>
      <c r="C33" s="2">
        <v>43839.592361111114</v>
      </c>
      <c r="D33">
        <v>2</v>
      </c>
      <c r="E33" t="s">
        <v>4</v>
      </c>
      <c r="F33" t="s">
        <v>10</v>
      </c>
      <c r="G33" t="s">
        <v>21</v>
      </c>
      <c r="H33">
        <v>74</v>
      </c>
      <c r="I33">
        <v>2.36</v>
      </c>
      <c r="J33">
        <v>1.01</v>
      </c>
      <c r="K33" t="s">
        <v>15</v>
      </c>
      <c r="L33">
        <v>66</v>
      </c>
      <c r="M33">
        <v>182</v>
      </c>
      <c r="N33">
        <v>95</v>
      </c>
      <c r="O33">
        <v>55</v>
      </c>
      <c r="P33" t="s">
        <v>44</v>
      </c>
    </row>
    <row r="34" spans="1:16" x14ac:dyDescent="0.25">
      <c r="A34">
        <v>34</v>
      </c>
      <c r="B34" s="2">
        <v>43839.326388888891</v>
      </c>
      <c r="C34" s="2">
        <v>43839.661805555559</v>
      </c>
      <c r="D34">
        <v>5</v>
      </c>
      <c r="E34" t="s">
        <v>4</v>
      </c>
      <c r="F34" t="s">
        <v>3</v>
      </c>
      <c r="G34" t="s">
        <v>20</v>
      </c>
      <c r="H34">
        <v>77</v>
      </c>
      <c r="I34">
        <v>7.67</v>
      </c>
      <c r="J34">
        <v>1.77</v>
      </c>
      <c r="K34" t="s">
        <v>15</v>
      </c>
      <c r="L34">
        <v>74</v>
      </c>
      <c r="M34">
        <v>182</v>
      </c>
      <c r="N34">
        <v>42</v>
      </c>
      <c r="O34">
        <v>72</v>
      </c>
      <c r="P34" t="s">
        <v>44</v>
      </c>
    </row>
    <row r="35" spans="1:16" x14ac:dyDescent="0.25">
      <c r="A35">
        <v>35</v>
      </c>
      <c r="B35" s="2">
        <v>43839.458333333336</v>
      </c>
      <c r="C35" s="2">
        <v>43840.336111111108</v>
      </c>
      <c r="D35">
        <v>2</v>
      </c>
      <c r="E35" t="s">
        <v>6</v>
      </c>
      <c r="F35" t="s">
        <v>10</v>
      </c>
      <c r="G35" t="s">
        <v>21</v>
      </c>
      <c r="H35">
        <v>76</v>
      </c>
      <c r="I35">
        <v>5.92</v>
      </c>
      <c r="J35">
        <v>1.8</v>
      </c>
      <c r="K35" t="s">
        <v>15</v>
      </c>
      <c r="L35">
        <v>92</v>
      </c>
      <c r="M35">
        <v>163</v>
      </c>
      <c r="N35">
        <v>80</v>
      </c>
      <c r="O35">
        <v>50</v>
      </c>
      <c r="P35" t="s">
        <v>46</v>
      </c>
    </row>
    <row r="36" spans="1:16" x14ac:dyDescent="0.25">
      <c r="A36">
        <v>36</v>
      </c>
      <c r="B36" s="2">
        <v>43839.561805555553</v>
      </c>
      <c r="C36" s="2">
        <v>43840.340277777781</v>
      </c>
      <c r="D36">
        <v>3</v>
      </c>
      <c r="E36" t="s">
        <v>4</v>
      </c>
      <c r="F36" t="s">
        <v>3</v>
      </c>
      <c r="G36" t="s">
        <v>35</v>
      </c>
      <c r="H36">
        <v>74</v>
      </c>
      <c r="I36">
        <v>5.46</v>
      </c>
      <c r="J36">
        <v>5.2</v>
      </c>
      <c r="K36" t="s">
        <v>15</v>
      </c>
      <c r="L36">
        <v>66</v>
      </c>
      <c r="M36">
        <v>167</v>
      </c>
      <c r="N36">
        <v>50</v>
      </c>
      <c r="O36">
        <v>55</v>
      </c>
      <c r="P36" t="s">
        <v>44</v>
      </c>
    </row>
    <row r="37" spans="1:16" x14ac:dyDescent="0.25">
      <c r="A37">
        <v>37</v>
      </c>
      <c r="B37" s="2">
        <v>43839.564583333333</v>
      </c>
      <c r="C37" s="2">
        <v>43840.350694444445</v>
      </c>
      <c r="D37">
        <v>5</v>
      </c>
      <c r="E37" t="s">
        <v>4</v>
      </c>
      <c r="F37" t="s">
        <v>10</v>
      </c>
      <c r="G37" t="s">
        <v>22</v>
      </c>
      <c r="H37">
        <v>72</v>
      </c>
      <c r="I37">
        <v>9.18</v>
      </c>
      <c r="J37">
        <v>3.4</v>
      </c>
      <c r="K37" t="s">
        <v>15</v>
      </c>
      <c r="L37">
        <v>70</v>
      </c>
      <c r="M37">
        <v>160</v>
      </c>
      <c r="N37">
        <v>71</v>
      </c>
      <c r="O37">
        <v>55</v>
      </c>
      <c r="P37" t="s">
        <v>44</v>
      </c>
    </row>
    <row r="38" spans="1:16" x14ac:dyDescent="0.25">
      <c r="A38">
        <v>38</v>
      </c>
      <c r="B38" s="2">
        <v>43839.597916666666</v>
      </c>
      <c r="C38" s="2">
        <v>43840.486805555556</v>
      </c>
      <c r="D38">
        <v>6</v>
      </c>
      <c r="E38" t="s">
        <v>4</v>
      </c>
      <c r="F38" t="s">
        <v>11</v>
      </c>
      <c r="G38" t="s">
        <v>31</v>
      </c>
      <c r="H38">
        <v>78</v>
      </c>
      <c r="I38">
        <v>7.62</v>
      </c>
      <c r="J38">
        <v>3.37</v>
      </c>
      <c r="K38" t="s">
        <v>15</v>
      </c>
      <c r="L38">
        <v>99</v>
      </c>
      <c r="M38">
        <v>165</v>
      </c>
      <c r="N38">
        <v>93</v>
      </c>
      <c r="O38">
        <v>65</v>
      </c>
      <c r="P38" t="s">
        <v>44</v>
      </c>
    </row>
    <row r="39" spans="1:16" x14ac:dyDescent="0.25">
      <c r="A39">
        <v>39</v>
      </c>
      <c r="B39" s="2">
        <v>43840.328472222223</v>
      </c>
      <c r="C39" s="2">
        <v>43840.524305555555</v>
      </c>
      <c r="D39">
        <v>3</v>
      </c>
      <c r="E39" t="s">
        <v>4</v>
      </c>
      <c r="F39" t="s">
        <v>3</v>
      </c>
      <c r="G39" t="s">
        <v>35</v>
      </c>
      <c r="H39">
        <v>50</v>
      </c>
      <c r="I39">
        <v>1.51</v>
      </c>
      <c r="J39">
        <v>0.8</v>
      </c>
      <c r="K39" t="s">
        <v>15</v>
      </c>
      <c r="L39">
        <v>78</v>
      </c>
      <c r="M39">
        <v>156</v>
      </c>
      <c r="N39">
        <v>119</v>
      </c>
      <c r="O39">
        <v>65</v>
      </c>
      <c r="P39" t="s">
        <v>44</v>
      </c>
    </row>
    <row r="40" spans="1:16" x14ac:dyDescent="0.25">
      <c r="A40">
        <v>40</v>
      </c>
      <c r="B40" s="2">
        <v>43840.318749999999</v>
      </c>
      <c r="C40" s="2">
        <v>43840.579861111109</v>
      </c>
      <c r="D40">
        <v>2</v>
      </c>
      <c r="E40" t="s">
        <v>4</v>
      </c>
      <c r="F40" t="s">
        <v>10</v>
      </c>
      <c r="G40" t="s">
        <v>21</v>
      </c>
      <c r="H40">
        <v>80</v>
      </c>
      <c r="I40">
        <v>7.71</v>
      </c>
      <c r="J40">
        <v>2.61</v>
      </c>
      <c r="K40" t="s">
        <v>15</v>
      </c>
      <c r="L40">
        <v>79</v>
      </c>
      <c r="M40">
        <v>174</v>
      </c>
      <c r="N40">
        <v>80</v>
      </c>
      <c r="O40">
        <v>50</v>
      </c>
      <c r="P40" t="s">
        <v>46</v>
      </c>
    </row>
    <row r="41" spans="1:16" x14ac:dyDescent="0.25">
      <c r="A41">
        <v>41</v>
      </c>
      <c r="B41" s="2">
        <v>43838.87777777778</v>
      </c>
      <c r="C41" s="2">
        <v>43840.762499999997</v>
      </c>
      <c r="D41">
        <v>1</v>
      </c>
      <c r="E41" t="s">
        <v>2</v>
      </c>
      <c r="F41" t="s">
        <v>11</v>
      </c>
      <c r="G41" t="s">
        <v>21</v>
      </c>
      <c r="H41">
        <v>76</v>
      </c>
      <c r="I41">
        <v>71.760000000000005</v>
      </c>
      <c r="J41">
        <v>33.46</v>
      </c>
      <c r="K41" t="s">
        <v>13</v>
      </c>
      <c r="L41">
        <v>83</v>
      </c>
      <c r="M41">
        <v>165</v>
      </c>
      <c r="N41">
        <v>104</v>
      </c>
      <c r="O41">
        <v>55</v>
      </c>
      <c r="P41" t="s">
        <v>44</v>
      </c>
    </row>
    <row r="42" spans="1:16" x14ac:dyDescent="0.25">
      <c r="A42">
        <v>42</v>
      </c>
      <c r="B42" s="2">
        <v>43840.666666666664</v>
      </c>
      <c r="C42" s="2">
        <v>43841.329861111109</v>
      </c>
      <c r="D42">
        <v>2</v>
      </c>
      <c r="E42" t="s">
        <v>4</v>
      </c>
      <c r="F42" t="s">
        <v>3</v>
      </c>
      <c r="G42" t="s">
        <v>20</v>
      </c>
      <c r="H42">
        <v>59</v>
      </c>
      <c r="I42">
        <v>1.51</v>
      </c>
      <c r="J42">
        <v>1.75</v>
      </c>
      <c r="K42" t="s">
        <v>15</v>
      </c>
      <c r="L42">
        <v>99</v>
      </c>
      <c r="M42">
        <v>180</v>
      </c>
      <c r="N42">
        <v>108</v>
      </c>
      <c r="O42">
        <v>52</v>
      </c>
      <c r="P42" t="s">
        <v>44</v>
      </c>
    </row>
    <row r="43" spans="1:16" x14ac:dyDescent="0.25">
      <c r="A43">
        <v>43</v>
      </c>
      <c r="B43" s="2">
        <v>43841.35</v>
      </c>
      <c r="C43" s="2">
        <v>43841.524305555555</v>
      </c>
      <c r="D43">
        <v>2</v>
      </c>
      <c r="E43" t="s">
        <v>4</v>
      </c>
      <c r="F43" t="s">
        <v>10</v>
      </c>
      <c r="G43" t="s">
        <v>22</v>
      </c>
      <c r="H43">
        <v>59</v>
      </c>
      <c r="I43">
        <v>1.33</v>
      </c>
      <c r="J43">
        <v>0.92</v>
      </c>
      <c r="K43" t="s">
        <v>15</v>
      </c>
      <c r="L43">
        <v>85</v>
      </c>
      <c r="M43">
        <v>171</v>
      </c>
      <c r="N43">
        <v>92</v>
      </c>
      <c r="O43">
        <v>47</v>
      </c>
      <c r="P43" t="s">
        <v>46</v>
      </c>
    </row>
    <row r="44" spans="1:16" x14ac:dyDescent="0.25">
      <c r="A44">
        <v>44</v>
      </c>
      <c r="B44" s="2">
        <v>43842.583333333336</v>
      </c>
      <c r="C44" s="2">
        <v>43843.329861111109</v>
      </c>
      <c r="D44">
        <v>6</v>
      </c>
      <c r="E44" t="s">
        <v>4</v>
      </c>
      <c r="F44" t="s">
        <v>11</v>
      </c>
      <c r="G44" t="s">
        <v>33</v>
      </c>
      <c r="H44">
        <v>75</v>
      </c>
      <c r="I44">
        <v>7.88</v>
      </c>
      <c r="J44">
        <v>2.48</v>
      </c>
      <c r="K44" t="s">
        <v>15</v>
      </c>
      <c r="L44">
        <v>74</v>
      </c>
      <c r="M44">
        <v>176</v>
      </c>
      <c r="N44">
        <v>76</v>
      </c>
      <c r="O44">
        <v>60</v>
      </c>
      <c r="P44" t="s">
        <v>44</v>
      </c>
    </row>
    <row r="45" spans="1:16" x14ac:dyDescent="0.25">
      <c r="A45">
        <v>45</v>
      </c>
      <c r="B45" s="2">
        <v>43838.726388888892</v>
      </c>
      <c r="C45" s="2">
        <v>43843.329861111109</v>
      </c>
      <c r="D45">
        <v>5</v>
      </c>
      <c r="E45" t="s">
        <v>6</v>
      </c>
      <c r="F45" t="s">
        <v>10</v>
      </c>
      <c r="G45" t="s">
        <v>32</v>
      </c>
      <c r="H45">
        <v>83</v>
      </c>
      <c r="I45">
        <v>11.82</v>
      </c>
      <c r="J45">
        <v>9.81</v>
      </c>
      <c r="K45" t="s">
        <v>15</v>
      </c>
      <c r="L45">
        <v>78</v>
      </c>
      <c r="M45">
        <v>177</v>
      </c>
      <c r="N45">
        <v>74</v>
      </c>
      <c r="O45">
        <v>60</v>
      </c>
      <c r="P45" t="s">
        <v>44</v>
      </c>
    </row>
    <row r="46" spans="1:16" x14ac:dyDescent="0.25">
      <c r="A46">
        <v>46</v>
      </c>
      <c r="B46" s="2">
        <v>43842.583333333336</v>
      </c>
      <c r="C46" s="2">
        <v>43843.353472222225</v>
      </c>
      <c r="D46">
        <v>2</v>
      </c>
      <c r="E46" t="s">
        <v>4</v>
      </c>
      <c r="F46" t="s">
        <v>10</v>
      </c>
      <c r="G46" t="s">
        <v>31</v>
      </c>
      <c r="H46">
        <v>64</v>
      </c>
      <c r="I46">
        <v>1.23</v>
      </c>
      <c r="J46">
        <v>0.63</v>
      </c>
      <c r="K46" t="s">
        <v>15</v>
      </c>
      <c r="L46">
        <v>76</v>
      </c>
      <c r="M46">
        <v>181</v>
      </c>
      <c r="N46">
        <v>88</v>
      </c>
      <c r="O46">
        <v>48</v>
      </c>
      <c r="P46" t="s">
        <v>46</v>
      </c>
    </row>
    <row r="47" spans="1:16" x14ac:dyDescent="0.25">
      <c r="A47">
        <v>47</v>
      </c>
      <c r="B47" s="2">
        <v>43842.583333333336</v>
      </c>
      <c r="C47" s="2">
        <v>43843.368055555555</v>
      </c>
      <c r="D47">
        <v>3</v>
      </c>
      <c r="E47" t="s">
        <v>4</v>
      </c>
      <c r="F47" t="s">
        <v>1</v>
      </c>
      <c r="G47" t="s">
        <v>23</v>
      </c>
      <c r="H47">
        <v>75</v>
      </c>
      <c r="I47">
        <v>16.46</v>
      </c>
      <c r="J47">
        <v>3.1</v>
      </c>
      <c r="K47" t="s">
        <v>15</v>
      </c>
      <c r="L47">
        <v>78</v>
      </c>
      <c r="M47">
        <v>175</v>
      </c>
      <c r="N47">
        <v>116</v>
      </c>
      <c r="O47">
        <v>55</v>
      </c>
      <c r="P47" t="s">
        <v>44</v>
      </c>
    </row>
    <row r="48" spans="1:16" x14ac:dyDescent="0.25">
      <c r="A48">
        <v>48</v>
      </c>
      <c r="B48" s="2">
        <v>43843.352083333331</v>
      </c>
      <c r="C48" s="2">
        <v>43843.556944444441</v>
      </c>
      <c r="D48">
        <v>5</v>
      </c>
      <c r="E48" t="s">
        <v>4</v>
      </c>
      <c r="F48" t="s">
        <v>11</v>
      </c>
      <c r="G48" t="s">
        <v>32</v>
      </c>
      <c r="H48">
        <v>83</v>
      </c>
      <c r="I48">
        <v>7.03</v>
      </c>
      <c r="J48">
        <v>2.4700000000000002</v>
      </c>
      <c r="K48" t="s">
        <v>15</v>
      </c>
      <c r="L48">
        <v>75</v>
      </c>
      <c r="M48">
        <v>179</v>
      </c>
      <c r="N48">
        <v>77</v>
      </c>
      <c r="O48">
        <v>48</v>
      </c>
      <c r="P48" t="s">
        <v>46</v>
      </c>
    </row>
    <row r="49" spans="1:16" x14ac:dyDescent="0.25">
      <c r="A49">
        <v>49</v>
      </c>
      <c r="B49" s="2">
        <v>43833.583333333336</v>
      </c>
      <c r="C49" s="2">
        <v>43843.580555555556</v>
      </c>
      <c r="D49">
        <v>6</v>
      </c>
      <c r="E49" t="s">
        <v>6</v>
      </c>
      <c r="F49" t="s">
        <v>10</v>
      </c>
      <c r="G49" t="s">
        <v>33</v>
      </c>
      <c r="H49">
        <v>47</v>
      </c>
      <c r="I49">
        <v>2.2799999999999998</v>
      </c>
      <c r="J49">
        <v>1.0900000000000001</v>
      </c>
      <c r="K49" t="s">
        <v>15</v>
      </c>
      <c r="L49">
        <v>78</v>
      </c>
      <c r="M49">
        <v>145</v>
      </c>
      <c r="N49">
        <v>68</v>
      </c>
      <c r="O49">
        <v>45</v>
      </c>
      <c r="P49" t="s">
        <v>46</v>
      </c>
    </row>
    <row r="50" spans="1:16" x14ac:dyDescent="0.25">
      <c r="A50">
        <v>50</v>
      </c>
      <c r="B50" s="2">
        <v>43842.457638888889</v>
      </c>
      <c r="C50" s="2">
        <v>43843.612500000003</v>
      </c>
      <c r="D50">
        <v>2</v>
      </c>
      <c r="E50" t="s">
        <v>4</v>
      </c>
      <c r="F50" t="s">
        <v>10</v>
      </c>
      <c r="G50" t="s">
        <v>31</v>
      </c>
      <c r="H50">
        <v>69</v>
      </c>
      <c r="I50">
        <v>1.7</v>
      </c>
      <c r="J50">
        <v>0.65</v>
      </c>
      <c r="K50" t="s">
        <v>15</v>
      </c>
      <c r="L50">
        <v>75</v>
      </c>
      <c r="M50">
        <v>173</v>
      </c>
      <c r="N50">
        <v>93</v>
      </c>
      <c r="O50">
        <v>60</v>
      </c>
      <c r="P50" t="s">
        <v>44</v>
      </c>
    </row>
    <row r="51" spans="1:16" x14ac:dyDescent="0.25">
      <c r="A51">
        <v>51</v>
      </c>
      <c r="B51" s="2">
        <v>43844.291666666664</v>
      </c>
      <c r="C51" s="2">
        <v>43844.32708333333</v>
      </c>
      <c r="D51">
        <v>2</v>
      </c>
      <c r="E51" t="s">
        <v>4</v>
      </c>
      <c r="F51" t="s">
        <v>11</v>
      </c>
      <c r="G51" t="s">
        <v>28</v>
      </c>
      <c r="H51">
        <v>78</v>
      </c>
      <c r="I51">
        <v>7.01</v>
      </c>
      <c r="J51">
        <v>2.68</v>
      </c>
      <c r="K51" t="s">
        <v>15</v>
      </c>
      <c r="L51">
        <v>83</v>
      </c>
      <c r="M51">
        <v>175</v>
      </c>
      <c r="N51">
        <v>81</v>
      </c>
      <c r="O51">
        <v>52</v>
      </c>
      <c r="P51" t="s">
        <v>44</v>
      </c>
    </row>
    <row r="52" spans="1:16" x14ac:dyDescent="0.25">
      <c r="A52">
        <v>52</v>
      </c>
      <c r="B52" s="2">
        <v>43843.584027777775</v>
      </c>
      <c r="C52" s="2">
        <v>43844.329861111109</v>
      </c>
      <c r="D52">
        <v>3</v>
      </c>
      <c r="E52" t="s">
        <v>4</v>
      </c>
      <c r="F52" t="s">
        <v>10</v>
      </c>
      <c r="G52" t="s">
        <v>29</v>
      </c>
      <c r="H52">
        <v>77</v>
      </c>
      <c r="I52">
        <v>2.87</v>
      </c>
      <c r="J52">
        <v>0.81</v>
      </c>
      <c r="K52" t="s">
        <v>15</v>
      </c>
      <c r="L52">
        <v>98</v>
      </c>
      <c r="M52">
        <v>182</v>
      </c>
      <c r="N52">
        <v>97</v>
      </c>
      <c r="O52">
        <v>29</v>
      </c>
      <c r="P52" t="s">
        <v>45</v>
      </c>
    </row>
    <row r="53" spans="1:16" x14ac:dyDescent="0.25">
      <c r="A53">
        <v>53</v>
      </c>
      <c r="B53" s="2">
        <v>43843.561805555553</v>
      </c>
      <c r="C53" s="2">
        <v>43844.333333333336</v>
      </c>
      <c r="D53">
        <v>6</v>
      </c>
      <c r="E53" t="s">
        <v>4</v>
      </c>
      <c r="F53" t="s">
        <v>3</v>
      </c>
      <c r="G53" t="s">
        <v>20</v>
      </c>
      <c r="H53">
        <v>82</v>
      </c>
      <c r="I53">
        <v>6.61</v>
      </c>
      <c r="J53">
        <v>1.4</v>
      </c>
      <c r="K53" t="s">
        <v>15</v>
      </c>
      <c r="L53">
        <v>97</v>
      </c>
      <c r="M53">
        <v>178</v>
      </c>
      <c r="N53">
        <v>88</v>
      </c>
      <c r="O53">
        <v>61</v>
      </c>
      <c r="P53" t="s">
        <v>44</v>
      </c>
    </row>
    <row r="54" spans="1:16" x14ac:dyDescent="0.25">
      <c r="A54">
        <v>54</v>
      </c>
      <c r="B54" s="2">
        <v>43843.458333333336</v>
      </c>
      <c r="C54" s="2">
        <v>43844.345833333333</v>
      </c>
      <c r="D54">
        <v>5</v>
      </c>
      <c r="E54" t="s">
        <v>6</v>
      </c>
      <c r="F54" t="s">
        <v>10</v>
      </c>
      <c r="G54" t="s">
        <v>26</v>
      </c>
      <c r="H54">
        <v>61</v>
      </c>
      <c r="I54">
        <v>9.6</v>
      </c>
      <c r="J54">
        <v>4.91</v>
      </c>
      <c r="K54" t="s">
        <v>15</v>
      </c>
      <c r="L54">
        <v>75</v>
      </c>
      <c r="M54">
        <v>171</v>
      </c>
      <c r="N54">
        <v>70</v>
      </c>
      <c r="O54">
        <v>45</v>
      </c>
      <c r="P54" t="s">
        <v>46</v>
      </c>
    </row>
    <row r="55" spans="1:16" x14ac:dyDescent="0.25">
      <c r="A55">
        <v>55</v>
      </c>
      <c r="B55" s="2">
        <v>43844.790972222225</v>
      </c>
      <c r="C55" s="2">
        <v>43844.798611111109</v>
      </c>
      <c r="D55">
        <v>5</v>
      </c>
      <c r="E55" t="s">
        <v>2</v>
      </c>
      <c r="F55" t="s">
        <v>10</v>
      </c>
      <c r="G55" t="s">
        <v>30</v>
      </c>
      <c r="H55">
        <v>73</v>
      </c>
      <c r="I55">
        <v>29.14</v>
      </c>
      <c r="J55">
        <v>5.31</v>
      </c>
      <c r="K55" t="s">
        <v>15</v>
      </c>
      <c r="L55">
        <v>84</v>
      </c>
      <c r="M55">
        <v>162</v>
      </c>
      <c r="N55">
        <v>64</v>
      </c>
      <c r="O55">
        <v>42</v>
      </c>
      <c r="P55" t="s">
        <v>46</v>
      </c>
    </row>
    <row r="56" spans="1:16" x14ac:dyDescent="0.25">
      <c r="A56">
        <v>56</v>
      </c>
      <c r="B56" s="2">
        <v>43842.458333333336</v>
      </c>
      <c r="C56" s="2">
        <v>43845.329861111109</v>
      </c>
      <c r="D56">
        <v>3</v>
      </c>
      <c r="E56" t="s">
        <v>6</v>
      </c>
      <c r="F56" t="s">
        <v>10</v>
      </c>
      <c r="G56" t="s">
        <v>30</v>
      </c>
      <c r="H56">
        <v>71</v>
      </c>
      <c r="I56">
        <v>9.09</v>
      </c>
      <c r="J56">
        <v>3.75</v>
      </c>
      <c r="K56" t="s">
        <v>15</v>
      </c>
      <c r="L56">
        <v>92</v>
      </c>
      <c r="M56">
        <v>164</v>
      </c>
      <c r="N56">
        <v>76</v>
      </c>
      <c r="O56">
        <v>55</v>
      </c>
      <c r="P56" t="s">
        <v>44</v>
      </c>
    </row>
    <row r="57" spans="1:16" x14ac:dyDescent="0.25">
      <c r="A57">
        <v>57</v>
      </c>
      <c r="B57" s="2">
        <v>43844.455555555556</v>
      </c>
      <c r="C57" s="2">
        <v>43845.334027777775</v>
      </c>
      <c r="D57">
        <v>6</v>
      </c>
      <c r="E57" t="s">
        <v>4</v>
      </c>
      <c r="F57" t="s">
        <v>3</v>
      </c>
      <c r="G57" t="s">
        <v>23</v>
      </c>
      <c r="H57">
        <v>83</v>
      </c>
      <c r="I57">
        <v>9.52</v>
      </c>
      <c r="J57">
        <v>1.33</v>
      </c>
      <c r="K57" t="s">
        <v>15</v>
      </c>
      <c r="L57">
        <v>62</v>
      </c>
      <c r="M57">
        <v>160</v>
      </c>
      <c r="N57">
        <v>79</v>
      </c>
      <c r="O57">
        <v>60</v>
      </c>
      <c r="P57" t="s">
        <v>44</v>
      </c>
    </row>
    <row r="58" spans="1:16" x14ac:dyDescent="0.25">
      <c r="A58">
        <v>58</v>
      </c>
      <c r="B58" s="2">
        <v>43845.34375</v>
      </c>
      <c r="C58" s="2">
        <v>43845.545138888891</v>
      </c>
      <c r="D58">
        <v>3</v>
      </c>
      <c r="E58" t="s">
        <v>4</v>
      </c>
      <c r="F58" t="s">
        <v>10</v>
      </c>
      <c r="G58" t="s">
        <v>31</v>
      </c>
      <c r="H58">
        <v>74</v>
      </c>
      <c r="I58">
        <v>2.36</v>
      </c>
      <c r="J58">
        <v>0.83</v>
      </c>
      <c r="K58" t="s">
        <v>15</v>
      </c>
      <c r="L58">
        <v>152</v>
      </c>
      <c r="M58">
        <v>148</v>
      </c>
      <c r="N58">
        <v>48</v>
      </c>
      <c r="O58">
        <v>35</v>
      </c>
      <c r="P58" t="s">
        <v>46</v>
      </c>
    </row>
    <row r="59" spans="1:16" x14ac:dyDescent="0.25">
      <c r="A59">
        <v>59</v>
      </c>
      <c r="B59" s="2">
        <v>43845.334722222222</v>
      </c>
      <c r="C59" s="2">
        <v>43845.569444444445</v>
      </c>
      <c r="D59">
        <v>6</v>
      </c>
      <c r="E59" t="s">
        <v>4</v>
      </c>
      <c r="F59" t="s">
        <v>3</v>
      </c>
      <c r="G59" t="s">
        <v>23</v>
      </c>
      <c r="H59">
        <v>62</v>
      </c>
      <c r="I59">
        <v>2.76</v>
      </c>
      <c r="J59">
        <v>0.81</v>
      </c>
      <c r="K59" t="s">
        <v>15</v>
      </c>
      <c r="L59">
        <v>64</v>
      </c>
      <c r="M59">
        <v>175</v>
      </c>
      <c r="N59">
        <v>98</v>
      </c>
      <c r="O59">
        <v>55</v>
      </c>
      <c r="P59" t="s">
        <v>44</v>
      </c>
    </row>
    <row r="60" spans="1:16" x14ac:dyDescent="0.25">
      <c r="A60">
        <v>60</v>
      </c>
      <c r="B60" s="2">
        <v>43844.668055555558</v>
      </c>
      <c r="C60" s="2">
        <v>43845.600694444445</v>
      </c>
      <c r="D60">
        <v>5</v>
      </c>
      <c r="E60" t="s">
        <v>2</v>
      </c>
      <c r="F60" t="s">
        <v>10</v>
      </c>
      <c r="G60" t="s">
        <v>30</v>
      </c>
      <c r="H60">
        <v>80</v>
      </c>
      <c r="I60">
        <v>16.170000000000002</v>
      </c>
      <c r="J60">
        <v>7.86</v>
      </c>
      <c r="K60" t="s">
        <v>15</v>
      </c>
      <c r="L60">
        <v>109</v>
      </c>
      <c r="M60">
        <v>175</v>
      </c>
      <c r="N60">
        <v>101</v>
      </c>
      <c r="O60">
        <v>65</v>
      </c>
      <c r="P60" t="s">
        <v>44</v>
      </c>
    </row>
    <row r="61" spans="1:16" x14ac:dyDescent="0.25">
      <c r="A61">
        <v>61</v>
      </c>
      <c r="B61" s="2">
        <v>43845.458333333336</v>
      </c>
      <c r="C61" s="2">
        <v>43846.338194444441</v>
      </c>
      <c r="D61">
        <v>2</v>
      </c>
      <c r="E61" t="s">
        <v>6</v>
      </c>
      <c r="F61" t="s">
        <v>11</v>
      </c>
      <c r="G61" t="s">
        <v>21</v>
      </c>
      <c r="H61">
        <v>77</v>
      </c>
      <c r="I61">
        <v>10.86</v>
      </c>
      <c r="J61">
        <v>4.08</v>
      </c>
      <c r="K61" t="s">
        <v>15</v>
      </c>
      <c r="L61">
        <v>63</v>
      </c>
      <c r="M61">
        <v>173</v>
      </c>
      <c r="N61">
        <v>72</v>
      </c>
      <c r="O61">
        <v>40</v>
      </c>
      <c r="P61" t="s">
        <v>46</v>
      </c>
    </row>
    <row r="62" spans="1:16" x14ac:dyDescent="0.25">
      <c r="A62">
        <v>62</v>
      </c>
      <c r="B62" s="2">
        <v>43845.791666666664</v>
      </c>
      <c r="C62" s="2">
        <v>43846.341666666667</v>
      </c>
      <c r="D62">
        <v>1</v>
      </c>
      <c r="E62" t="s">
        <v>4</v>
      </c>
      <c r="F62" t="s">
        <v>1</v>
      </c>
      <c r="G62" t="s">
        <v>33</v>
      </c>
      <c r="H62">
        <v>61</v>
      </c>
      <c r="I62">
        <v>13.18</v>
      </c>
      <c r="J62">
        <v>6.66</v>
      </c>
      <c r="K62" t="s">
        <v>15</v>
      </c>
      <c r="L62">
        <v>133</v>
      </c>
      <c r="M62">
        <v>174</v>
      </c>
      <c r="N62">
        <v>75</v>
      </c>
      <c r="O62">
        <v>55</v>
      </c>
      <c r="P62" t="s">
        <v>44</v>
      </c>
    </row>
    <row r="63" spans="1:16" x14ac:dyDescent="0.25">
      <c r="A63">
        <v>63</v>
      </c>
      <c r="B63" s="2">
        <v>43845.576388888891</v>
      </c>
      <c r="C63" s="2">
        <v>43846.345138888886</v>
      </c>
      <c r="D63">
        <v>6</v>
      </c>
      <c r="E63" t="s">
        <v>4</v>
      </c>
      <c r="F63" t="s">
        <v>3</v>
      </c>
      <c r="G63" t="s">
        <v>22</v>
      </c>
      <c r="H63">
        <v>58</v>
      </c>
      <c r="I63">
        <v>2.08</v>
      </c>
      <c r="J63">
        <v>0.69</v>
      </c>
      <c r="K63" t="s">
        <v>15</v>
      </c>
      <c r="L63">
        <v>109</v>
      </c>
      <c r="M63">
        <v>166</v>
      </c>
      <c r="N63">
        <v>97</v>
      </c>
      <c r="O63">
        <v>60</v>
      </c>
      <c r="P63" t="s">
        <v>44</v>
      </c>
    </row>
    <row r="64" spans="1:16" x14ac:dyDescent="0.25">
      <c r="A64">
        <v>64</v>
      </c>
      <c r="B64" s="2">
        <v>43845.445138888892</v>
      </c>
      <c r="C64" s="2">
        <v>43846.345833333333</v>
      </c>
      <c r="D64">
        <v>5</v>
      </c>
      <c r="E64" t="s">
        <v>4</v>
      </c>
      <c r="F64" t="s">
        <v>11</v>
      </c>
      <c r="G64" t="s">
        <v>32</v>
      </c>
      <c r="H64">
        <v>79</v>
      </c>
      <c r="I64">
        <v>14.08</v>
      </c>
      <c r="J64">
        <v>3.23</v>
      </c>
      <c r="K64" t="s">
        <v>15</v>
      </c>
      <c r="L64">
        <v>137</v>
      </c>
      <c r="M64">
        <v>171</v>
      </c>
      <c r="N64">
        <v>128</v>
      </c>
      <c r="O64">
        <v>55</v>
      </c>
      <c r="P64" t="s">
        <v>44</v>
      </c>
    </row>
    <row r="65" spans="1:16" x14ac:dyDescent="0.25">
      <c r="A65">
        <v>65</v>
      </c>
      <c r="B65" s="2">
        <v>43844.336805555555</v>
      </c>
      <c r="C65" s="2">
        <v>43846.359722222223</v>
      </c>
      <c r="D65">
        <v>3</v>
      </c>
      <c r="E65" t="s">
        <v>2</v>
      </c>
      <c r="F65" t="s">
        <v>10</v>
      </c>
      <c r="G65" t="s">
        <v>23</v>
      </c>
      <c r="H65">
        <v>76</v>
      </c>
      <c r="I65">
        <v>70.94</v>
      </c>
      <c r="J65">
        <v>30.17</v>
      </c>
      <c r="K65" t="s">
        <v>15</v>
      </c>
      <c r="L65">
        <v>93</v>
      </c>
      <c r="M65">
        <v>168</v>
      </c>
      <c r="N65">
        <v>77</v>
      </c>
      <c r="O65">
        <v>60</v>
      </c>
      <c r="P65" t="s">
        <v>44</v>
      </c>
    </row>
    <row r="66" spans="1:16" x14ac:dyDescent="0.25">
      <c r="A66">
        <v>66</v>
      </c>
      <c r="B66" s="2">
        <v>43845.458333333336</v>
      </c>
      <c r="C66" s="2">
        <v>43846.49722222222</v>
      </c>
      <c r="D66">
        <v>6</v>
      </c>
      <c r="E66" t="s">
        <v>6</v>
      </c>
      <c r="F66" t="s">
        <v>10</v>
      </c>
      <c r="G66" t="s">
        <v>22</v>
      </c>
      <c r="H66">
        <v>78</v>
      </c>
      <c r="I66">
        <v>3.06</v>
      </c>
      <c r="J66">
        <v>1.1399999999999999</v>
      </c>
      <c r="K66" t="s">
        <v>15</v>
      </c>
      <c r="L66">
        <v>91</v>
      </c>
      <c r="M66">
        <v>166</v>
      </c>
      <c r="N66">
        <v>84</v>
      </c>
      <c r="O66">
        <v>61</v>
      </c>
      <c r="P66" t="s">
        <v>44</v>
      </c>
    </row>
    <row r="67" spans="1:16" x14ac:dyDescent="0.25">
      <c r="A67">
        <v>67</v>
      </c>
      <c r="B67" s="2">
        <v>43845.61041666667</v>
      </c>
      <c r="C67" s="2">
        <v>43846.530555555553</v>
      </c>
      <c r="D67">
        <v>3</v>
      </c>
      <c r="E67" t="s">
        <v>4</v>
      </c>
      <c r="F67" t="s">
        <v>3</v>
      </c>
      <c r="G67" t="s">
        <v>23</v>
      </c>
      <c r="H67">
        <v>66</v>
      </c>
      <c r="I67">
        <v>3.57</v>
      </c>
      <c r="J67">
        <v>0.9</v>
      </c>
      <c r="K67" t="s">
        <v>15</v>
      </c>
      <c r="L67">
        <v>98</v>
      </c>
      <c r="M67">
        <v>185</v>
      </c>
      <c r="N67">
        <v>106</v>
      </c>
      <c r="O67">
        <v>40</v>
      </c>
      <c r="P67" t="s">
        <v>46</v>
      </c>
    </row>
    <row r="68" spans="1:16" x14ac:dyDescent="0.25">
      <c r="A68">
        <v>68</v>
      </c>
      <c r="B68" s="2">
        <v>43845.272222222222</v>
      </c>
      <c r="C68" s="2">
        <v>43846.565972222219</v>
      </c>
      <c r="D68">
        <v>2</v>
      </c>
      <c r="E68" t="s">
        <v>6</v>
      </c>
      <c r="F68" t="s">
        <v>10</v>
      </c>
      <c r="G68" t="s">
        <v>21</v>
      </c>
      <c r="H68">
        <v>64</v>
      </c>
      <c r="I68">
        <v>1.23</v>
      </c>
      <c r="J68">
        <v>0.86</v>
      </c>
      <c r="K68" t="s">
        <v>15</v>
      </c>
      <c r="L68">
        <v>75</v>
      </c>
      <c r="M68">
        <v>168</v>
      </c>
      <c r="N68">
        <v>75</v>
      </c>
      <c r="O68">
        <v>50</v>
      </c>
      <c r="P68" t="s">
        <v>46</v>
      </c>
    </row>
    <row r="69" spans="1:16" x14ac:dyDescent="0.25">
      <c r="A69">
        <v>69</v>
      </c>
      <c r="B69" s="2">
        <v>43844.445833333331</v>
      </c>
      <c r="C69" s="2">
        <v>43847.332638888889</v>
      </c>
      <c r="D69">
        <v>3</v>
      </c>
      <c r="E69" t="s">
        <v>6</v>
      </c>
      <c r="F69" t="s">
        <v>3</v>
      </c>
      <c r="G69" t="s">
        <v>35</v>
      </c>
      <c r="H69">
        <v>78</v>
      </c>
      <c r="I69">
        <v>5.14</v>
      </c>
      <c r="J69">
        <v>1.1399999999999999</v>
      </c>
      <c r="K69" t="s">
        <v>15</v>
      </c>
      <c r="L69">
        <v>71</v>
      </c>
      <c r="M69">
        <v>166</v>
      </c>
      <c r="N69">
        <v>81</v>
      </c>
      <c r="O69">
        <v>55</v>
      </c>
      <c r="P69" t="s">
        <v>44</v>
      </c>
    </row>
    <row r="70" spans="1:16" x14ac:dyDescent="0.25">
      <c r="A70">
        <v>70</v>
      </c>
      <c r="B70" s="2">
        <v>43846.458333333336</v>
      </c>
      <c r="C70" s="2">
        <v>43847.338194444441</v>
      </c>
      <c r="D70">
        <v>5</v>
      </c>
      <c r="E70" t="s">
        <v>6</v>
      </c>
      <c r="F70" t="s">
        <v>10</v>
      </c>
      <c r="G70" t="s">
        <v>33</v>
      </c>
      <c r="H70">
        <v>57</v>
      </c>
      <c r="I70">
        <v>0.88</v>
      </c>
      <c r="J70">
        <v>0.77</v>
      </c>
      <c r="K70" t="s">
        <v>15</v>
      </c>
      <c r="L70">
        <v>68</v>
      </c>
      <c r="M70">
        <v>179</v>
      </c>
      <c r="N70">
        <v>79</v>
      </c>
      <c r="O70">
        <v>63</v>
      </c>
      <c r="P70" t="s">
        <v>44</v>
      </c>
    </row>
    <row r="71" spans="1:16" x14ac:dyDescent="0.25">
      <c r="A71">
        <v>71</v>
      </c>
      <c r="B71" s="2">
        <v>43843.448611111111</v>
      </c>
      <c r="C71" s="2">
        <v>43847.345138888886</v>
      </c>
      <c r="D71">
        <v>2</v>
      </c>
      <c r="E71" t="s">
        <v>6</v>
      </c>
      <c r="F71" t="s">
        <v>11</v>
      </c>
      <c r="G71" t="s">
        <v>21</v>
      </c>
      <c r="H71">
        <v>81</v>
      </c>
      <c r="I71">
        <v>6.21</v>
      </c>
      <c r="J71">
        <v>3.81</v>
      </c>
      <c r="K71" t="s">
        <v>15</v>
      </c>
      <c r="L71">
        <v>63</v>
      </c>
      <c r="M71">
        <v>173</v>
      </c>
      <c r="N71">
        <v>68</v>
      </c>
      <c r="O71">
        <v>65</v>
      </c>
      <c r="P71" t="s">
        <v>44</v>
      </c>
    </row>
    <row r="72" spans="1:16" x14ac:dyDescent="0.25">
      <c r="A72">
        <v>72</v>
      </c>
      <c r="B72" s="2">
        <v>43846.574999999997</v>
      </c>
      <c r="C72" s="2">
        <v>43847.489583333336</v>
      </c>
      <c r="D72">
        <v>6</v>
      </c>
      <c r="E72" t="s">
        <v>4</v>
      </c>
      <c r="F72" t="s">
        <v>3</v>
      </c>
      <c r="G72" t="s">
        <v>31</v>
      </c>
      <c r="H72">
        <v>75</v>
      </c>
      <c r="I72">
        <v>11.47</v>
      </c>
      <c r="J72">
        <v>6.82</v>
      </c>
      <c r="K72" t="s">
        <v>15</v>
      </c>
      <c r="L72">
        <v>61</v>
      </c>
      <c r="M72">
        <v>159</v>
      </c>
      <c r="N72">
        <v>71</v>
      </c>
      <c r="O72">
        <v>55</v>
      </c>
      <c r="P72" t="s">
        <v>44</v>
      </c>
    </row>
    <row r="73" spans="1:16" x14ac:dyDescent="0.25">
      <c r="A73">
        <v>73</v>
      </c>
      <c r="B73" s="2">
        <v>43846.564583333333</v>
      </c>
      <c r="C73" s="2">
        <v>43847.556250000001</v>
      </c>
      <c r="D73">
        <v>5</v>
      </c>
      <c r="E73" t="s">
        <v>4</v>
      </c>
      <c r="F73" t="s">
        <v>1</v>
      </c>
      <c r="G73" t="s">
        <v>33</v>
      </c>
      <c r="H73">
        <v>29</v>
      </c>
      <c r="I73">
        <v>4.6500000000000004</v>
      </c>
      <c r="J73">
        <v>1.83</v>
      </c>
      <c r="K73" t="s">
        <v>15</v>
      </c>
      <c r="L73">
        <v>95</v>
      </c>
      <c r="M73">
        <v>166</v>
      </c>
      <c r="N73">
        <v>84</v>
      </c>
      <c r="O73">
        <v>45</v>
      </c>
      <c r="P73" t="s">
        <v>46</v>
      </c>
    </row>
    <row r="74" spans="1:16" x14ac:dyDescent="0.25">
      <c r="A74">
        <v>74</v>
      </c>
      <c r="B74" s="2">
        <v>43846.580555555556</v>
      </c>
      <c r="C74" s="2">
        <v>43847.61041666667</v>
      </c>
      <c r="D74">
        <v>3</v>
      </c>
      <c r="E74" t="s">
        <v>4</v>
      </c>
      <c r="F74" t="s">
        <v>3</v>
      </c>
      <c r="G74" t="s">
        <v>35</v>
      </c>
      <c r="H74">
        <v>83</v>
      </c>
      <c r="I74">
        <v>9.52</v>
      </c>
      <c r="J74">
        <v>1.2</v>
      </c>
      <c r="K74" t="s">
        <v>15</v>
      </c>
      <c r="L74">
        <v>126</v>
      </c>
      <c r="M74">
        <v>178</v>
      </c>
      <c r="N74">
        <v>88</v>
      </c>
      <c r="O74">
        <v>61</v>
      </c>
      <c r="P74" t="s">
        <v>44</v>
      </c>
    </row>
    <row r="75" spans="1:16" x14ac:dyDescent="0.25">
      <c r="A75">
        <v>75</v>
      </c>
      <c r="B75" s="2">
        <v>43847.666666666664</v>
      </c>
      <c r="C75" s="2">
        <v>43848.347222222219</v>
      </c>
      <c r="D75">
        <v>2</v>
      </c>
      <c r="E75" t="s">
        <v>4</v>
      </c>
      <c r="F75" t="s">
        <v>3</v>
      </c>
      <c r="G75" t="s">
        <v>35</v>
      </c>
      <c r="H75">
        <v>70</v>
      </c>
      <c r="I75">
        <v>3.08</v>
      </c>
      <c r="J75">
        <v>1.54</v>
      </c>
      <c r="K75" t="s">
        <v>15</v>
      </c>
      <c r="L75">
        <v>78</v>
      </c>
      <c r="M75">
        <v>174</v>
      </c>
      <c r="N75">
        <v>83</v>
      </c>
      <c r="O75">
        <v>55</v>
      </c>
      <c r="P75" t="s">
        <v>44</v>
      </c>
    </row>
    <row r="76" spans="1:16" x14ac:dyDescent="0.25">
      <c r="A76">
        <v>76</v>
      </c>
      <c r="B76" s="2">
        <v>43849.541666666664</v>
      </c>
      <c r="C76" s="2">
        <v>43850.336805555555</v>
      </c>
      <c r="D76">
        <v>3</v>
      </c>
      <c r="E76" t="s">
        <v>4</v>
      </c>
      <c r="F76" t="s">
        <v>3</v>
      </c>
      <c r="G76" t="s">
        <v>29</v>
      </c>
      <c r="H76">
        <v>74</v>
      </c>
      <c r="I76">
        <v>5.46</v>
      </c>
      <c r="J76">
        <v>1.67</v>
      </c>
      <c r="K76" t="s">
        <v>15</v>
      </c>
      <c r="L76">
        <v>950</v>
      </c>
      <c r="M76">
        <v>183</v>
      </c>
      <c r="N76">
        <v>87</v>
      </c>
      <c r="O76">
        <v>44</v>
      </c>
      <c r="P76" t="s">
        <v>44</v>
      </c>
    </row>
    <row r="77" spans="1:16" x14ac:dyDescent="0.25">
      <c r="A77">
        <v>77</v>
      </c>
      <c r="B77" s="2">
        <v>43849.583333333336</v>
      </c>
      <c r="C77" s="2">
        <v>43850.336805555555</v>
      </c>
      <c r="D77">
        <v>6</v>
      </c>
      <c r="E77" t="s">
        <v>4</v>
      </c>
      <c r="F77" t="s">
        <v>10</v>
      </c>
      <c r="G77" t="s">
        <v>23</v>
      </c>
      <c r="H77">
        <v>71</v>
      </c>
      <c r="I77">
        <v>1.94</v>
      </c>
      <c r="J77">
        <v>0.92</v>
      </c>
      <c r="K77" t="s">
        <v>15</v>
      </c>
      <c r="L77">
        <v>78</v>
      </c>
      <c r="M77">
        <v>162</v>
      </c>
      <c r="N77">
        <v>83</v>
      </c>
      <c r="O77">
        <v>65</v>
      </c>
      <c r="P77" t="s">
        <v>44</v>
      </c>
    </row>
    <row r="78" spans="1:16" x14ac:dyDescent="0.25">
      <c r="A78">
        <v>78</v>
      </c>
      <c r="B78" s="2">
        <v>43849.583333333336</v>
      </c>
      <c r="C78" s="2">
        <v>43850.34097222222</v>
      </c>
      <c r="D78">
        <v>5</v>
      </c>
      <c r="E78" t="s">
        <v>4</v>
      </c>
      <c r="F78" t="s">
        <v>11</v>
      </c>
      <c r="G78" t="s">
        <v>32</v>
      </c>
      <c r="H78">
        <v>60</v>
      </c>
      <c r="I78">
        <v>2.42</v>
      </c>
      <c r="J78">
        <v>1.58</v>
      </c>
      <c r="K78" t="s">
        <v>15</v>
      </c>
      <c r="L78">
        <v>107</v>
      </c>
      <c r="M78">
        <v>164</v>
      </c>
      <c r="N78">
        <v>82</v>
      </c>
      <c r="O78">
        <v>45</v>
      </c>
      <c r="P78" t="s">
        <v>46</v>
      </c>
    </row>
    <row r="79" spans="1:16" x14ac:dyDescent="0.25">
      <c r="A79">
        <v>79</v>
      </c>
      <c r="B79" s="2">
        <v>43850.324999999997</v>
      </c>
      <c r="C79" s="2">
        <v>43850.427083333336</v>
      </c>
      <c r="D79">
        <v>2</v>
      </c>
      <c r="E79" t="s">
        <v>4</v>
      </c>
      <c r="F79" t="s">
        <v>3</v>
      </c>
      <c r="G79" t="s">
        <v>20</v>
      </c>
      <c r="H79">
        <v>87</v>
      </c>
      <c r="I79">
        <v>13.06</v>
      </c>
      <c r="J79">
        <v>3.74</v>
      </c>
      <c r="K79" t="s">
        <v>15</v>
      </c>
      <c r="L79">
        <v>73</v>
      </c>
      <c r="M79">
        <v>166</v>
      </c>
      <c r="N79">
        <v>61</v>
      </c>
      <c r="O79">
        <v>25</v>
      </c>
      <c r="P79" t="s">
        <v>45</v>
      </c>
    </row>
    <row r="80" spans="1:16" x14ac:dyDescent="0.25">
      <c r="A80">
        <v>80</v>
      </c>
      <c r="B80" s="2">
        <v>43838.727777777778</v>
      </c>
      <c r="C80" s="2">
        <v>43850.500694444447</v>
      </c>
      <c r="D80">
        <v>3</v>
      </c>
      <c r="E80" t="s">
        <v>6</v>
      </c>
      <c r="F80" t="s">
        <v>10</v>
      </c>
      <c r="G80" t="s">
        <v>29</v>
      </c>
      <c r="H80">
        <v>70</v>
      </c>
      <c r="I80">
        <v>3.09</v>
      </c>
      <c r="J80">
        <v>1.18</v>
      </c>
      <c r="K80" t="s">
        <v>15</v>
      </c>
      <c r="L80">
        <v>107</v>
      </c>
      <c r="M80">
        <v>172</v>
      </c>
      <c r="N80">
        <v>87</v>
      </c>
      <c r="O80">
        <v>47</v>
      </c>
      <c r="P80" t="s">
        <v>46</v>
      </c>
    </row>
    <row r="81" spans="1:16" x14ac:dyDescent="0.25">
      <c r="A81">
        <v>81</v>
      </c>
      <c r="B81" s="2">
        <v>43850.313888888886</v>
      </c>
      <c r="C81" s="2">
        <v>43850.546527777777</v>
      </c>
      <c r="D81">
        <v>5</v>
      </c>
      <c r="E81" t="s">
        <v>4</v>
      </c>
      <c r="F81" t="s">
        <v>11</v>
      </c>
      <c r="G81" t="s">
        <v>32</v>
      </c>
      <c r="H81">
        <v>83</v>
      </c>
      <c r="I81">
        <v>26.63</v>
      </c>
      <c r="J81">
        <v>7.95</v>
      </c>
      <c r="K81" t="s">
        <v>15</v>
      </c>
      <c r="L81">
        <v>95</v>
      </c>
      <c r="M81">
        <v>171</v>
      </c>
      <c r="N81">
        <v>99</v>
      </c>
      <c r="O81">
        <v>55</v>
      </c>
      <c r="P81" t="s">
        <v>44</v>
      </c>
    </row>
    <row r="82" spans="1:16" x14ac:dyDescent="0.25">
      <c r="A82">
        <v>82</v>
      </c>
      <c r="B82" s="2">
        <v>43840.604166666664</v>
      </c>
      <c r="C82" s="2">
        <v>43850.629166666666</v>
      </c>
      <c r="D82">
        <v>2</v>
      </c>
      <c r="E82" t="s">
        <v>6</v>
      </c>
      <c r="F82" t="s">
        <v>10</v>
      </c>
      <c r="G82" t="s">
        <v>30</v>
      </c>
      <c r="H82">
        <v>52</v>
      </c>
      <c r="I82">
        <v>1.51</v>
      </c>
      <c r="J82">
        <v>0.8</v>
      </c>
      <c r="K82" t="s">
        <v>15</v>
      </c>
      <c r="L82">
        <v>72</v>
      </c>
      <c r="M82">
        <v>174</v>
      </c>
      <c r="N82">
        <v>75</v>
      </c>
      <c r="O82">
        <v>43</v>
      </c>
      <c r="P82" t="s">
        <v>46</v>
      </c>
    </row>
    <row r="83" spans="1:16" x14ac:dyDescent="0.25">
      <c r="A83">
        <v>83</v>
      </c>
      <c r="B83" s="2">
        <v>43850.55</v>
      </c>
      <c r="C83" s="2">
        <v>43851.336805555555</v>
      </c>
      <c r="D83">
        <v>5</v>
      </c>
      <c r="E83" t="s">
        <v>4</v>
      </c>
      <c r="F83" t="s">
        <v>11</v>
      </c>
      <c r="G83" t="s">
        <v>26</v>
      </c>
      <c r="H83">
        <v>68</v>
      </c>
      <c r="I83">
        <v>4.3600000000000003</v>
      </c>
      <c r="J83">
        <v>1.74</v>
      </c>
      <c r="K83" t="s">
        <v>15</v>
      </c>
      <c r="L83">
        <v>67</v>
      </c>
      <c r="M83">
        <v>178</v>
      </c>
      <c r="N83">
        <v>80</v>
      </c>
      <c r="O83">
        <v>60</v>
      </c>
      <c r="P83" t="s">
        <v>44</v>
      </c>
    </row>
    <row r="84" spans="1:16" x14ac:dyDescent="0.25">
      <c r="A84">
        <v>84</v>
      </c>
      <c r="B84" s="2">
        <v>43850.573611111111</v>
      </c>
      <c r="C84" s="2">
        <v>43851.343055555553</v>
      </c>
      <c r="D84">
        <v>6</v>
      </c>
      <c r="E84" t="s">
        <v>4</v>
      </c>
      <c r="F84" t="s">
        <v>3</v>
      </c>
      <c r="G84" t="s">
        <v>20</v>
      </c>
      <c r="H84">
        <v>72</v>
      </c>
      <c r="I84">
        <v>5.24</v>
      </c>
      <c r="J84">
        <v>3.13</v>
      </c>
      <c r="K84" t="s">
        <v>15</v>
      </c>
      <c r="L84">
        <v>82</v>
      </c>
      <c r="M84">
        <v>152</v>
      </c>
      <c r="N84">
        <v>64</v>
      </c>
      <c r="O84">
        <v>55</v>
      </c>
      <c r="P84" t="s">
        <v>44</v>
      </c>
    </row>
    <row r="85" spans="1:16" x14ac:dyDescent="0.25">
      <c r="A85">
        <v>85</v>
      </c>
      <c r="B85" s="2">
        <v>43851.293055555558</v>
      </c>
      <c r="C85" s="2">
        <v>43851.347222222219</v>
      </c>
      <c r="D85">
        <v>2</v>
      </c>
      <c r="E85" t="s">
        <v>4</v>
      </c>
      <c r="F85" t="s">
        <v>3</v>
      </c>
      <c r="G85" t="s">
        <v>28</v>
      </c>
      <c r="H85">
        <v>57</v>
      </c>
      <c r="I85">
        <v>2.27</v>
      </c>
      <c r="J85">
        <v>0.69</v>
      </c>
      <c r="K85" t="s">
        <v>15</v>
      </c>
      <c r="L85">
        <v>80</v>
      </c>
      <c r="M85">
        <v>164</v>
      </c>
      <c r="N85">
        <v>80</v>
      </c>
      <c r="O85">
        <v>59</v>
      </c>
      <c r="P85" t="s">
        <v>44</v>
      </c>
    </row>
    <row r="86" spans="1:16" x14ac:dyDescent="0.25">
      <c r="A86">
        <v>86</v>
      </c>
      <c r="B86" s="2">
        <v>43851.324305555558</v>
      </c>
      <c r="C86" s="2">
        <v>43851.368750000001</v>
      </c>
      <c r="D86">
        <v>6</v>
      </c>
      <c r="E86" t="s">
        <v>4</v>
      </c>
      <c r="F86" t="s">
        <v>11</v>
      </c>
      <c r="G86" t="s">
        <v>20</v>
      </c>
      <c r="H86">
        <v>55</v>
      </c>
      <c r="I86">
        <v>3.37</v>
      </c>
      <c r="J86">
        <v>1.44</v>
      </c>
      <c r="K86" t="s">
        <v>15</v>
      </c>
      <c r="L86">
        <v>70</v>
      </c>
      <c r="M86">
        <v>167</v>
      </c>
      <c r="N86">
        <v>86</v>
      </c>
      <c r="O86">
        <v>55</v>
      </c>
      <c r="P86" t="s">
        <v>44</v>
      </c>
    </row>
    <row r="87" spans="1:16" x14ac:dyDescent="0.25">
      <c r="A87">
        <v>87</v>
      </c>
      <c r="B87" s="2">
        <v>43844.440972222219</v>
      </c>
      <c r="C87" s="2">
        <v>43851.373611111114</v>
      </c>
      <c r="D87">
        <v>3</v>
      </c>
      <c r="E87" t="s">
        <v>6</v>
      </c>
      <c r="F87" t="s">
        <v>10</v>
      </c>
      <c r="G87" t="s">
        <v>23</v>
      </c>
      <c r="H87">
        <v>79</v>
      </c>
      <c r="I87">
        <v>5.23</v>
      </c>
      <c r="J87">
        <v>2.12</v>
      </c>
      <c r="K87" t="s">
        <v>15</v>
      </c>
      <c r="L87">
        <v>74</v>
      </c>
      <c r="M87">
        <v>176</v>
      </c>
      <c r="N87">
        <v>110</v>
      </c>
      <c r="O87">
        <v>65</v>
      </c>
      <c r="P87" t="s">
        <v>44</v>
      </c>
    </row>
    <row r="88" spans="1:16" x14ac:dyDescent="0.25">
      <c r="A88">
        <v>88</v>
      </c>
      <c r="B88" s="2">
        <v>43851.313888888886</v>
      </c>
      <c r="C88" s="2">
        <v>43851.592361111114</v>
      </c>
      <c r="D88">
        <v>3</v>
      </c>
      <c r="E88" t="s">
        <v>4</v>
      </c>
      <c r="F88" t="s">
        <v>11</v>
      </c>
      <c r="G88" t="s">
        <v>23</v>
      </c>
      <c r="H88">
        <v>70</v>
      </c>
      <c r="I88">
        <v>4.95</v>
      </c>
      <c r="J88">
        <v>1.84</v>
      </c>
      <c r="K88" t="s">
        <v>15</v>
      </c>
      <c r="L88">
        <v>65</v>
      </c>
      <c r="M88">
        <v>170</v>
      </c>
      <c r="N88">
        <v>51</v>
      </c>
      <c r="O88">
        <v>50</v>
      </c>
      <c r="P88" t="s">
        <v>46</v>
      </c>
    </row>
    <row r="89" spans="1:16" x14ac:dyDescent="0.25">
      <c r="A89">
        <v>89</v>
      </c>
      <c r="B89" s="2">
        <v>43838.708333333336</v>
      </c>
      <c r="C89" s="2">
        <v>43852.342361111114</v>
      </c>
      <c r="D89">
        <v>6</v>
      </c>
      <c r="E89" t="s">
        <v>6</v>
      </c>
      <c r="F89" t="s">
        <v>10</v>
      </c>
      <c r="G89" t="s">
        <v>32</v>
      </c>
      <c r="H89">
        <v>72</v>
      </c>
      <c r="I89">
        <v>3.11</v>
      </c>
      <c r="J89">
        <v>1.64</v>
      </c>
      <c r="K89" t="s">
        <v>15</v>
      </c>
      <c r="L89">
        <v>131</v>
      </c>
      <c r="M89">
        <v>173</v>
      </c>
      <c r="N89">
        <v>88</v>
      </c>
      <c r="O89">
        <v>45</v>
      </c>
      <c r="P89" t="s">
        <v>46</v>
      </c>
    </row>
    <row r="90" spans="1:16" x14ac:dyDescent="0.25">
      <c r="A90">
        <v>90</v>
      </c>
      <c r="B90" s="2">
        <v>43851.559027777781</v>
      </c>
      <c r="C90" s="2">
        <v>43852.345833333333</v>
      </c>
      <c r="D90">
        <v>5</v>
      </c>
      <c r="E90" t="s">
        <v>4</v>
      </c>
      <c r="F90" t="s">
        <v>3</v>
      </c>
      <c r="G90" t="s">
        <v>35</v>
      </c>
      <c r="H90">
        <v>72</v>
      </c>
      <c r="I90">
        <v>5.24</v>
      </c>
      <c r="J90">
        <v>2.97</v>
      </c>
      <c r="K90" t="s">
        <v>15</v>
      </c>
      <c r="L90">
        <v>65</v>
      </c>
      <c r="M90">
        <v>171</v>
      </c>
      <c r="N90">
        <v>100</v>
      </c>
      <c r="O90">
        <v>70</v>
      </c>
      <c r="P90" t="s">
        <v>44</v>
      </c>
    </row>
    <row r="91" spans="1:16" x14ac:dyDescent="0.25">
      <c r="A91">
        <v>91</v>
      </c>
      <c r="B91" s="2">
        <v>43851.581944444442</v>
      </c>
      <c r="C91" s="2">
        <v>43852.354166666664</v>
      </c>
      <c r="D91">
        <v>2</v>
      </c>
      <c r="E91" t="s">
        <v>4</v>
      </c>
      <c r="F91" t="s">
        <v>3</v>
      </c>
      <c r="G91" t="s">
        <v>28</v>
      </c>
      <c r="H91">
        <v>42</v>
      </c>
      <c r="I91">
        <v>1.51</v>
      </c>
      <c r="J91">
        <v>0.68</v>
      </c>
      <c r="K91" t="s">
        <v>15</v>
      </c>
      <c r="L91">
        <v>71</v>
      </c>
      <c r="M91">
        <v>165</v>
      </c>
      <c r="N91">
        <v>69</v>
      </c>
      <c r="O91">
        <v>54</v>
      </c>
      <c r="P91" t="s">
        <v>44</v>
      </c>
    </row>
    <row r="92" spans="1:16" x14ac:dyDescent="0.25">
      <c r="A92">
        <v>92</v>
      </c>
      <c r="B92" s="2">
        <v>43852.335416666669</v>
      </c>
      <c r="C92" s="2">
        <v>43852.447916666664</v>
      </c>
      <c r="D92">
        <v>3</v>
      </c>
      <c r="E92" t="s">
        <v>4</v>
      </c>
      <c r="F92" t="s">
        <v>1</v>
      </c>
      <c r="G92" t="s">
        <v>20</v>
      </c>
      <c r="H92">
        <v>65</v>
      </c>
      <c r="I92">
        <v>6.78</v>
      </c>
      <c r="J92">
        <v>2.85</v>
      </c>
      <c r="K92" t="s">
        <v>15</v>
      </c>
      <c r="L92">
        <v>76</v>
      </c>
      <c r="M92">
        <v>175</v>
      </c>
      <c r="N92">
        <v>100</v>
      </c>
      <c r="O92">
        <v>67</v>
      </c>
      <c r="P92" t="s">
        <v>44</v>
      </c>
    </row>
    <row r="93" spans="1:16" x14ac:dyDescent="0.25">
      <c r="A93">
        <v>93</v>
      </c>
      <c r="B93" s="2">
        <v>43852.324999999997</v>
      </c>
      <c r="C93" s="2">
        <v>43852.661111111112</v>
      </c>
      <c r="D93">
        <v>5</v>
      </c>
      <c r="E93" t="s">
        <v>4</v>
      </c>
      <c r="F93" t="s">
        <v>3</v>
      </c>
      <c r="G93" t="s">
        <v>35</v>
      </c>
      <c r="H93">
        <v>83</v>
      </c>
      <c r="I93">
        <v>9.52</v>
      </c>
      <c r="J93">
        <v>3.08</v>
      </c>
      <c r="K93" t="s">
        <v>15</v>
      </c>
      <c r="L93">
        <v>172</v>
      </c>
      <c r="M93">
        <v>172</v>
      </c>
      <c r="N93">
        <v>85</v>
      </c>
      <c r="O93">
        <v>60</v>
      </c>
      <c r="P93" t="s">
        <v>44</v>
      </c>
    </row>
    <row r="94" spans="1:16" x14ac:dyDescent="0.25">
      <c r="A94">
        <v>94</v>
      </c>
      <c r="B94" s="2">
        <v>43852.565972222219</v>
      </c>
      <c r="C94" s="2">
        <v>43853.334722222222</v>
      </c>
      <c r="D94">
        <v>3</v>
      </c>
      <c r="E94" t="s">
        <v>4</v>
      </c>
      <c r="F94" t="s">
        <v>11</v>
      </c>
      <c r="G94" t="s">
        <v>31</v>
      </c>
      <c r="H94">
        <v>70</v>
      </c>
      <c r="I94">
        <v>4.95</v>
      </c>
      <c r="J94">
        <v>2.48</v>
      </c>
      <c r="K94" t="s">
        <v>15</v>
      </c>
      <c r="L94">
        <v>79</v>
      </c>
      <c r="M94">
        <v>174</v>
      </c>
      <c r="N94">
        <v>91</v>
      </c>
      <c r="O94">
        <v>50</v>
      </c>
      <c r="P94" t="s">
        <v>46</v>
      </c>
    </row>
    <row r="95" spans="1:16" x14ac:dyDescent="0.25">
      <c r="A95">
        <v>95</v>
      </c>
      <c r="B95" s="2">
        <v>43840.475694444445</v>
      </c>
      <c r="C95" s="2">
        <v>43853.344444444447</v>
      </c>
      <c r="D95">
        <v>2</v>
      </c>
      <c r="E95" t="s">
        <v>6</v>
      </c>
      <c r="F95" t="s">
        <v>10</v>
      </c>
      <c r="G95" t="s">
        <v>20</v>
      </c>
      <c r="H95">
        <v>70</v>
      </c>
      <c r="I95">
        <v>19.100000000000001</v>
      </c>
      <c r="J95">
        <v>17.420000000000002</v>
      </c>
      <c r="K95" t="s">
        <v>15</v>
      </c>
      <c r="L95">
        <v>125</v>
      </c>
      <c r="M95">
        <v>180</v>
      </c>
      <c r="N95">
        <v>105</v>
      </c>
      <c r="O95">
        <v>58</v>
      </c>
      <c r="P95" t="s">
        <v>44</v>
      </c>
    </row>
    <row r="96" spans="1:16" x14ac:dyDescent="0.25">
      <c r="A96">
        <v>96</v>
      </c>
      <c r="B96" s="2">
        <v>43852.588194444441</v>
      </c>
      <c r="C96" s="2">
        <v>43853.348611111112</v>
      </c>
      <c r="D96">
        <v>5</v>
      </c>
      <c r="E96" t="s">
        <v>4</v>
      </c>
      <c r="F96" t="s">
        <v>3</v>
      </c>
      <c r="G96" t="s">
        <v>32</v>
      </c>
      <c r="H96">
        <v>74</v>
      </c>
      <c r="I96">
        <v>8.08</v>
      </c>
      <c r="J96">
        <v>4.37</v>
      </c>
      <c r="K96" t="s">
        <v>15</v>
      </c>
      <c r="L96">
        <v>88</v>
      </c>
      <c r="M96">
        <v>174</v>
      </c>
      <c r="N96">
        <v>92</v>
      </c>
      <c r="O96">
        <v>44</v>
      </c>
      <c r="P96" t="s">
        <v>46</v>
      </c>
    </row>
    <row r="97" spans="1:16" x14ac:dyDescent="0.25">
      <c r="A97">
        <v>97</v>
      </c>
      <c r="B97" s="2">
        <v>43852.4375</v>
      </c>
      <c r="C97" s="2">
        <v>43853.349305555559</v>
      </c>
      <c r="D97">
        <v>6</v>
      </c>
      <c r="E97" t="s">
        <v>6</v>
      </c>
      <c r="F97" t="s">
        <v>10</v>
      </c>
      <c r="G97" t="s">
        <v>22</v>
      </c>
      <c r="H97">
        <v>77</v>
      </c>
      <c r="I97">
        <v>7.7</v>
      </c>
      <c r="J97">
        <v>2.08</v>
      </c>
      <c r="K97" t="s">
        <v>15</v>
      </c>
      <c r="L97">
        <v>105</v>
      </c>
      <c r="M97">
        <v>164</v>
      </c>
      <c r="N97">
        <v>86</v>
      </c>
      <c r="O97">
        <v>14</v>
      </c>
      <c r="P97" t="s">
        <v>47</v>
      </c>
    </row>
    <row r="98" spans="1:16" x14ac:dyDescent="0.25">
      <c r="A98">
        <v>98</v>
      </c>
      <c r="B98" s="2">
        <v>43853.32708333333</v>
      </c>
      <c r="C98" s="2">
        <v>43853.506944444445</v>
      </c>
      <c r="D98">
        <v>5</v>
      </c>
      <c r="E98" t="s">
        <v>4</v>
      </c>
      <c r="F98" t="s">
        <v>3</v>
      </c>
      <c r="G98" t="s">
        <v>32</v>
      </c>
      <c r="H98">
        <v>79</v>
      </c>
      <c r="I98">
        <v>41.86</v>
      </c>
      <c r="J98">
        <v>14.21</v>
      </c>
      <c r="K98" t="s">
        <v>15</v>
      </c>
      <c r="L98">
        <v>127</v>
      </c>
      <c r="M98">
        <v>175</v>
      </c>
      <c r="N98">
        <v>105</v>
      </c>
      <c r="O98">
        <v>45</v>
      </c>
      <c r="P98" t="s">
        <v>46</v>
      </c>
    </row>
    <row r="99" spans="1:16" x14ac:dyDescent="0.25">
      <c r="A99">
        <v>99</v>
      </c>
      <c r="B99" s="2">
        <v>43853.333333333336</v>
      </c>
      <c r="C99" s="2">
        <v>43853.564583333333</v>
      </c>
      <c r="D99">
        <v>2</v>
      </c>
      <c r="E99" t="s">
        <v>4</v>
      </c>
      <c r="F99" t="s">
        <v>10</v>
      </c>
      <c r="G99" t="s">
        <v>20</v>
      </c>
      <c r="H99">
        <v>52</v>
      </c>
      <c r="I99">
        <v>0.88</v>
      </c>
      <c r="J99">
        <v>0.56000000000000005</v>
      </c>
      <c r="K99" t="s">
        <v>15</v>
      </c>
      <c r="L99">
        <v>70</v>
      </c>
      <c r="M99">
        <v>158</v>
      </c>
      <c r="N99">
        <v>87</v>
      </c>
      <c r="O99">
        <v>60</v>
      </c>
      <c r="P99" t="s">
        <v>44</v>
      </c>
    </row>
    <row r="100" spans="1:16" x14ac:dyDescent="0.25">
      <c r="A100">
        <v>100</v>
      </c>
      <c r="B100" s="2">
        <v>43853.593055555553</v>
      </c>
      <c r="C100" s="2">
        <v>43854.331250000003</v>
      </c>
      <c r="D100">
        <v>6</v>
      </c>
      <c r="E100" t="s">
        <v>4</v>
      </c>
      <c r="F100" t="s">
        <v>3</v>
      </c>
      <c r="G100" t="s">
        <v>35</v>
      </c>
      <c r="H100">
        <v>73</v>
      </c>
      <c r="I100">
        <v>3.74</v>
      </c>
      <c r="J100">
        <v>0.73</v>
      </c>
      <c r="K100" t="s">
        <v>15</v>
      </c>
      <c r="L100">
        <v>82</v>
      </c>
      <c r="M100">
        <v>182</v>
      </c>
      <c r="N100">
        <v>81</v>
      </c>
      <c r="O100">
        <v>60</v>
      </c>
      <c r="P100" t="s">
        <v>44</v>
      </c>
    </row>
    <row r="101" spans="1:16" x14ac:dyDescent="0.25">
      <c r="A101">
        <v>101</v>
      </c>
      <c r="B101" s="2">
        <v>43853.571527777778</v>
      </c>
      <c r="C101" s="2">
        <v>43854.331944444442</v>
      </c>
      <c r="D101">
        <v>2</v>
      </c>
      <c r="E101" t="s">
        <v>4</v>
      </c>
      <c r="F101" t="s">
        <v>11</v>
      </c>
      <c r="G101" t="s">
        <v>21</v>
      </c>
      <c r="H101">
        <v>59</v>
      </c>
      <c r="I101">
        <v>2.27</v>
      </c>
      <c r="J101">
        <v>5.8</v>
      </c>
      <c r="K101" t="s">
        <v>15</v>
      </c>
      <c r="L101">
        <v>76</v>
      </c>
      <c r="M101">
        <v>162</v>
      </c>
      <c r="N101">
        <v>83</v>
      </c>
      <c r="O101">
        <v>49</v>
      </c>
      <c r="P101" t="s">
        <v>46</v>
      </c>
    </row>
    <row r="102" spans="1:16" x14ac:dyDescent="0.25">
      <c r="A102">
        <v>102</v>
      </c>
      <c r="B102" s="2">
        <v>43853.45208333333</v>
      </c>
      <c r="C102" s="2">
        <v>43854.338194444441</v>
      </c>
      <c r="D102">
        <v>5</v>
      </c>
      <c r="E102" t="s">
        <v>4</v>
      </c>
      <c r="F102" t="s">
        <v>3</v>
      </c>
      <c r="G102" t="s">
        <v>22</v>
      </c>
      <c r="H102">
        <v>52</v>
      </c>
      <c r="I102">
        <v>1.51</v>
      </c>
      <c r="J102">
        <v>0.5</v>
      </c>
      <c r="K102" t="s">
        <v>15</v>
      </c>
      <c r="L102">
        <v>84</v>
      </c>
      <c r="M102">
        <v>166</v>
      </c>
      <c r="N102">
        <v>109</v>
      </c>
      <c r="O102">
        <v>45</v>
      </c>
      <c r="P102" t="s">
        <v>46</v>
      </c>
    </row>
    <row r="103" spans="1:16" x14ac:dyDescent="0.25">
      <c r="A103">
        <v>103</v>
      </c>
      <c r="B103" s="2">
        <v>43854.29791666667</v>
      </c>
      <c r="C103" s="2">
        <v>43854.378472222219</v>
      </c>
      <c r="D103">
        <v>3</v>
      </c>
      <c r="E103" t="s">
        <v>4</v>
      </c>
      <c r="F103" t="s">
        <v>10</v>
      </c>
      <c r="G103" t="s">
        <v>33</v>
      </c>
      <c r="H103">
        <v>48</v>
      </c>
      <c r="I103">
        <v>1.33</v>
      </c>
      <c r="J103">
        <v>0.69</v>
      </c>
      <c r="K103" t="s">
        <v>15</v>
      </c>
      <c r="L103">
        <v>80</v>
      </c>
      <c r="M103">
        <v>180</v>
      </c>
      <c r="N103">
        <v>97</v>
      </c>
      <c r="O103">
        <v>42</v>
      </c>
      <c r="P103" t="s">
        <v>46</v>
      </c>
    </row>
    <row r="104" spans="1:16" x14ac:dyDescent="0.25">
      <c r="A104">
        <v>104</v>
      </c>
      <c r="B104" s="2">
        <v>43854.333333333336</v>
      </c>
      <c r="C104" s="2">
        <v>43854.527777777781</v>
      </c>
      <c r="D104">
        <v>5</v>
      </c>
      <c r="E104" t="s">
        <v>4</v>
      </c>
      <c r="F104" t="s">
        <v>10</v>
      </c>
      <c r="G104" t="s">
        <v>22</v>
      </c>
      <c r="H104">
        <v>78</v>
      </c>
      <c r="I104">
        <v>13.36</v>
      </c>
      <c r="J104">
        <v>4.51</v>
      </c>
      <c r="K104" t="s">
        <v>15</v>
      </c>
      <c r="L104">
        <v>85</v>
      </c>
      <c r="M104">
        <v>180</v>
      </c>
      <c r="N104">
        <v>118</v>
      </c>
      <c r="O104">
        <v>55</v>
      </c>
      <c r="P104" t="s">
        <v>44</v>
      </c>
    </row>
    <row r="105" spans="1:16" x14ac:dyDescent="0.25">
      <c r="A105">
        <v>105</v>
      </c>
      <c r="B105" s="2">
        <v>43854.299305555556</v>
      </c>
      <c r="C105" s="2">
        <v>43854.54583333333</v>
      </c>
      <c r="D105">
        <v>6</v>
      </c>
      <c r="E105" t="s">
        <v>4</v>
      </c>
      <c r="F105" t="s">
        <v>3</v>
      </c>
      <c r="G105" t="s">
        <v>35</v>
      </c>
      <c r="H105">
        <v>68</v>
      </c>
      <c r="I105">
        <v>9.5500000000000007</v>
      </c>
      <c r="J105">
        <v>10.31</v>
      </c>
      <c r="K105" t="s">
        <v>15</v>
      </c>
      <c r="L105">
        <v>95</v>
      </c>
      <c r="M105">
        <v>175</v>
      </c>
      <c r="N105">
        <v>80</v>
      </c>
      <c r="O105">
        <v>65</v>
      </c>
      <c r="P105" t="s">
        <v>44</v>
      </c>
    </row>
    <row r="106" spans="1:16" x14ac:dyDescent="0.25">
      <c r="A106">
        <v>107</v>
      </c>
      <c r="B106" s="2">
        <v>43854.666666666664</v>
      </c>
      <c r="C106" s="2">
        <v>43855.333333333336</v>
      </c>
      <c r="D106">
        <v>2</v>
      </c>
      <c r="E106" t="s">
        <v>4</v>
      </c>
      <c r="F106" t="s">
        <v>1</v>
      </c>
      <c r="G106" t="s">
        <v>23</v>
      </c>
      <c r="H106">
        <v>68</v>
      </c>
      <c r="I106">
        <v>8.16</v>
      </c>
      <c r="J106">
        <v>5.5</v>
      </c>
      <c r="K106" t="s">
        <v>15</v>
      </c>
      <c r="L106">
        <v>121</v>
      </c>
      <c r="M106">
        <v>166</v>
      </c>
      <c r="N106">
        <v>67</v>
      </c>
      <c r="O106">
        <v>64</v>
      </c>
      <c r="P106" t="s">
        <v>44</v>
      </c>
    </row>
    <row r="107" spans="1:16" x14ac:dyDescent="0.25">
      <c r="A107">
        <v>108</v>
      </c>
      <c r="B107" s="2">
        <v>43854.583333333336</v>
      </c>
      <c r="C107" s="2">
        <v>43855.333333333336</v>
      </c>
      <c r="D107">
        <v>5</v>
      </c>
      <c r="E107" t="s">
        <v>4</v>
      </c>
      <c r="F107" t="s">
        <v>10</v>
      </c>
      <c r="G107" t="s">
        <v>25</v>
      </c>
      <c r="H107">
        <v>75</v>
      </c>
      <c r="I107">
        <v>4.0599999999999996</v>
      </c>
      <c r="J107">
        <v>1.03</v>
      </c>
      <c r="K107" t="s">
        <v>15</v>
      </c>
      <c r="L107">
        <v>83</v>
      </c>
      <c r="M107">
        <v>178</v>
      </c>
      <c r="N107">
        <v>97</v>
      </c>
      <c r="O107">
        <v>55</v>
      </c>
      <c r="P107" t="s">
        <v>44</v>
      </c>
    </row>
    <row r="108" spans="1:16" x14ac:dyDescent="0.25">
      <c r="A108">
        <v>109</v>
      </c>
      <c r="B108" s="2">
        <v>43854.666666666664</v>
      </c>
      <c r="C108" s="2">
        <v>43855.570833333331</v>
      </c>
      <c r="D108">
        <v>2</v>
      </c>
      <c r="E108" t="s">
        <v>4</v>
      </c>
      <c r="F108" t="s">
        <v>3</v>
      </c>
      <c r="G108" t="s">
        <v>23</v>
      </c>
      <c r="H108">
        <v>76</v>
      </c>
      <c r="I108">
        <v>14.34</v>
      </c>
      <c r="J108">
        <v>4.18</v>
      </c>
      <c r="K108" t="s">
        <v>15</v>
      </c>
      <c r="L108">
        <v>71</v>
      </c>
      <c r="M108">
        <v>180</v>
      </c>
      <c r="N108">
        <v>83</v>
      </c>
      <c r="O108">
        <v>45</v>
      </c>
      <c r="P108" t="s">
        <v>46</v>
      </c>
    </row>
    <row r="109" spans="1:16" x14ac:dyDescent="0.25">
      <c r="A109">
        <v>110</v>
      </c>
      <c r="B109" s="2">
        <v>43856.568749999999</v>
      </c>
      <c r="C109" s="2">
        <v>43857.32916666667</v>
      </c>
      <c r="D109">
        <v>2</v>
      </c>
      <c r="E109" t="s">
        <v>4</v>
      </c>
      <c r="F109" t="s">
        <v>11</v>
      </c>
      <c r="G109" t="s">
        <v>31</v>
      </c>
      <c r="H109">
        <v>66</v>
      </c>
      <c r="I109">
        <v>2.38</v>
      </c>
      <c r="J109">
        <v>1.1399999999999999</v>
      </c>
      <c r="K109" t="s">
        <v>15</v>
      </c>
      <c r="L109">
        <v>91</v>
      </c>
      <c r="M109">
        <v>150</v>
      </c>
      <c r="N109">
        <v>63</v>
      </c>
      <c r="O109">
        <v>55</v>
      </c>
      <c r="P109" t="s">
        <v>44</v>
      </c>
    </row>
    <row r="110" spans="1:16" x14ac:dyDescent="0.25">
      <c r="A110">
        <v>111</v>
      </c>
      <c r="B110" s="2">
        <v>43853.458333333336</v>
      </c>
      <c r="C110" s="2">
        <v>43857.332638888889</v>
      </c>
      <c r="D110">
        <v>5</v>
      </c>
      <c r="E110" t="s">
        <v>6</v>
      </c>
      <c r="F110" t="s">
        <v>11</v>
      </c>
      <c r="G110" t="s">
        <v>32</v>
      </c>
      <c r="H110">
        <v>75</v>
      </c>
      <c r="I110">
        <v>9.9499999999999993</v>
      </c>
      <c r="J110">
        <v>5.24</v>
      </c>
      <c r="K110" t="s">
        <v>15</v>
      </c>
      <c r="L110">
        <v>83</v>
      </c>
      <c r="M110">
        <v>163</v>
      </c>
      <c r="N110">
        <v>85</v>
      </c>
      <c r="O110">
        <v>50</v>
      </c>
      <c r="P110" t="s">
        <v>46</v>
      </c>
    </row>
    <row r="111" spans="1:16" x14ac:dyDescent="0.25">
      <c r="A111">
        <v>112</v>
      </c>
      <c r="B111" s="2">
        <v>43856.583333333336</v>
      </c>
      <c r="C111" s="2">
        <v>43857.354166666664</v>
      </c>
      <c r="D111">
        <v>6</v>
      </c>
      <c r="E111" t="s">
        <v>4</v>
      </c>
      <c r="F111" t="s">
        <v>10</v>
      </c>
      <c r="G111" t="s">
        <v>23</v>
      </c>
      <c r="H111">
        <v>75</v>
      </c>
      <c r="I111">
        <v>7.16</v>
      </c>
      <c r="J111">
        <v>1.71</v>
      </c>
      <c r="K111" t="s">
        <v>15</v>
      </c>
      <c r="L111">
        <v>93</v>
      </c>
      <c r="M111">
        <v>150</v>
      </c>
      <c r="N111">
        <v>74</v>
      </c>
      <c r="O111">
        <v>60</v>
      </c>
      <c r="P111" t="s">
        <v>44</v>
      </c>
    </row>
    <row r="112" spans="1:16" x14ac:dyDescent="0.25">
      <c r="A112">
        <v>113</v>
      </c>
      <c r="B112" s="2">
        <v>43856.583333333336</v>
      </c>
      <c r="C112" s="2">
        <v>43857.442361111112</v>
      </c>
      <c r="D112">
        <v>3</v>
      </c>
      <c r="E112" t="s">
        <v>4</v>
      </c>
      <c r="F112" t="s">
        <v>11</v>
      </c>
      <c r="G112" t="s">
        <v>33</v>
      </c>
      <c r="H112">
        <v>80</v>
      </c>
      <c r="I112">
        <v>5.83</v>
      </c>
      <c r="J112">
        <v>2.0299999999999998</v>
      </c>
      <c r="K112" t="s">
        <v>15</v>
      </c>
      <c r="L112">
        <v>74</v>
      </c>
      <c r="M112">
        <v>162</v>
      </c>
      <c r="N112">
        <v>59</v>
      </c>
      <c r="O112">
        <v>52</v>
      </c>
      <c r="P112" t="s">
        <v>44</v>
      </c>
    </row>
    <row r="113" spans="1:16" x14ac:dyDescent="0.25">
      <c r="A113">
        <v>114</v>
      </c>
      <c r="B113" s="2">
        <v>43857.350694444445</v>
      </c>
      <c r="C113" s="2">
        <v>43857.527083333334</v>
      </c>
      <c r="D113">
        <v>6</v>
      </c>
      <c r="E113" t="s">
        <v>6</v>
      </c>
      <c r="F113" t="s">
        <v>3</v>
      </c>
      <c r="G113" t="s">
        <v>23</v>
      </c>
      <c r="H113">
        <v>81</v>
      </c>
      <c r="I113">
        <v>8.44</v>
      </c>
      <c r="J113">
        <v>5.86</v>
      </c>
      <c r="K113" t="s">
        <v>15</v>
      </c>
      <c r="L113">
        <v>80</v>
      </c>
      <c r="M113">
        <v>176</v>
      </c>
      <c r="N113">
        <v>84</v>
      </c>
      <c r="O113">
        <v>55</v>
      </c>
      <c r="P113" t="s">
        <v>44</v>
      </c>
    </row>
    <row r="114" spans="1:16" x14ac:dyDescent="0.25">
      <c r="A114">
        <v>115</v>
      </c>
      <c r="B114" s="2">
        <v>43857.328472222223</v>
      </c>
      <c r="C114" s="2">
        <v>43857.548611111109</v>
      </c>
      <c r="D114">
        <v>5</v>
      </c>
      <c r="E114" t="s">
        <v>4</v>
      </c>
      <c r="F114" t="s">
        <v>3</v>
      </c>
      <c r="G114" t="s">
        <v>32</v>
      </c>
      <c r="H114">
        <v>57</v>
      </c>
      <c r="I114">
        <v>2.27</v>
      </c>
      <c r="J114">
        <v>0.76</v>
      </c>
      <c r="K114" t="s">
        <v>15</v>
      </c>
      <c r="L114">
        <v>79</v>
      </c>
      <c r="M114">
        <v>170</v>
      </c>
      <c r="N114">
        <v>82</v>
      </c>
      <c r="O114">
        <v>55</v>
      </c>
      <c r="P114" t="s">
        <v>44</v>
      </c>
    </row>
    <row r="115" spans="1:16" x14ac:dyDescent="0.25">
      <c r="A115">
        <v>116</v>
      </c>
      <c r="B115" s="2">
        <v>43857.305555555555</v>
      </c>
      <c r="C115" s="2">
        <v>43857.612500000003</v>
      </c>
      <c r="D115">
        <v>2</v>
      </c>
      <c r="E115" t="s">
        <v>4</v>
      </c>
      <c r="F115" t="s">
        <v>3</v>
      </c>
      <c r="G115" t="s">
        <v>31</v>
      </c>
      <c r="H115">
        <v>76</v>
      </c>
      <c r="I115">
        <v>9.1199999999999992</v>
      </c>
      <c r="J115">
        <v>2.41</v>
      </c>
      <c r="K115" t="s">
        <v>15</v>
      </c>
      <c r="L115">
        <v>80</v>
      </c>
      <c r="M115">
        <v>180</v>
      </c>
      <c r="N115">
        <v>104</v>
      </c>
      <c r="O115">
        <v>55</v>
      </c>
      <c r="P115" t="s">
        <v>44</v>
      </c>
    </row>
    <row r="116" spans="1:16" x14ac:dyDescent="0.25">
      <c r="A116">
        <v>117</v>
      </c>
      <c r="B116" s="2">
        <v>43857.3125</v>
      </c>
      <c r="C116" s="2">
        <v>43857.620138888888</v>
      </c>
      <c r="D116">
        <v>3</v>
      </c>
      <c r="E116" t="s">
        <v>4</v>
      </c>
      <c r="F116" t="s">
        <v>5</v>
      </c>
      <c r="G116" t="s">
        <v>20</v>
      </c>
      <c r="H116">
        <v>71</v>
      </c>
      <c r="I116">
        <v>1.94</v>
      </c>
      <c r="J116">
        <v>1.58</v>
      </c>
      <c r="K116" t="s">
        <v>15</v>
      </c>
      <c r="L116">
        <v>76</v>
      </c>
      <c r="M116">
        <v>165</v>
      </c>
      <c r="N116">
        <v>63</v>
      </c>
      <c r="O116">
        <v>25</v>
      </c>
      <c r="P116" t="s">
        <v>45</v>
      </c>
    </row>
    <row r="117" spans="1:16" x14ac:dyDescent="0.25">
      <c r="A117">
        <v>118</v>
      </c>
      <c r="B117" s="2">
        <v>43852.416666666664</v>
      </c>
      <c r="C117" s="2">
        <v>43858.340277777781</v>
      </c>
      <c r="D117">
        <v>5</v>
      </c>
      <c r="E117" t="s">
        <v>6</v>
      </c>
      <c r="F117" t="s">
        <v>10</v>
      </c>
      <c r="G117" t="s">
        <v>26</v>
      </c>
      <c r="H117">
        <v>67</v>
      </c>
      <c r="I117">
        <v>4.1100000000000003</v>
      </c>
      <c r="J117">
        <v>3.17</v>
      </c>
      <c r="K117" t="s">
        <v>15</v>
      </c>
      <c r="L117">
        <v>88</v>
      </c>
      <c r="M117">
        <v>174</v>
      </c>
      <c r="N117">
        <v>70</v>
      </c>
      <c r="O117">
        <v>55</v>
      </c>
      <c r="P117" t="s">
        <v>44</v>
      </c>
    </row>
    <row r="118" spans="1:16" x14ac:dyDescent="0.25">
      <c r="A118">
        <v>119</v>
      </c>
      <c r="B118" s="2">
        <v>43857.586111111108</v>
      </c>
      <c r="C118" s="2">
        <v>43858.34652777778</v>
      </c>
      <c r="D118">
        <v>3</v>
      </c>
      <c r="E118" t="s">
        <v>4</v>
      </c>
      <c r="F118" t="s">
        <v>10</v>
      </c>
      <c r="G118" t="s">
        <v>29</v>
      </c>
      <c r="H118">
        <v>59</v>
      </c>
      <c r="I118">
        <v>1.33</v>
      </c>
      <c r="J118">
        <v>0.76</v>
      </c>
      <c r="K118" t="s">
        <v>15</v>
      </c>
      <c r="L118">
        <v>73</v>
      </c>
      <c r="M118">
        <v>173</v>
      </c>
      <c r="N118">
        <v>86</v>
      </c>
      <c r="O118">
        <v>55</v>
      </c>
      <c r="P118" t="s">
        <v>44</v>
      </c>
    </row>
    <row r="119" spans="1:16" x14ac:dyDescent="0.25">
      <c r="A119">
        <v>120</v>
      </c>
      <c r="B119" s="2">
        <v>43857.321527777778</v>
      </c>
      <c r="C119" s="2">
        <v>43858.351388888892</v>
      </c>
      <c r="D119">
        <v>6</v>
      </c>
      <c r="E119" t="s">
        <v>4</v>
      </c>
      <c r="F119" t="s">
        <v>3</v>
      </c>
      <c r="G119" t="s">
        <v>20</v>
      </c>
      <c r="H119">
        <v>68</v>
      </c>
      <c r="I119">
        <v>7.05</v>
      </c>
      <c r="J119">
        <v>1.9</v>
      </c>
      <c r="K119" t="s">
        <v>15</v>
      </c>
      <c r="L119">
        <v>70</v>
      </c>
      <c r="M119">
        <v>164</v>
      </c>
      <c r="N119">
        <v>81</v>
      </c>
      <c r="O119">
        <v>55</v>
      </c>
      <c r="P119" t="s">
        <v>44</v>
      </c>
    </row>
    <row r="120" spans="1:16" x14ac:dyDescent="0.25">
      <c r="A120">
        <v>121</v>
      </c>
      <c r="B120" s="2">
        <v>43857.583333333336</v>
      </c>
      <c r="C120" s="2">
        <v>43858.352083333331</v>
      </c>
      <c r="D120">
        <v>2</v>
      </c>
      <c r="E120" t="s">
        <v>4</v>
      </c>
      <c r="F120" t="s">
        <v>11</v>
      </c>
      <c r="G120" t="s">
        <v>28</v>
      </c>
      <c r="H120">
        <v>84</v>
      </c>
      <c r="I120">
        <v>7.48</v>
      </c>
      <c r="J120">
        <v>2.54</v>
      </c>
      <c r="K120" t="s">
        <v>15</v>
      </c>
      <c r="L120">
        <v>156</v>
      </c>
      <c r="M120">
        <v>182</v>
      </c>
      <c r="N120">
        <v>98</v>
      </c>
      <c r="O120">
        <v>45</v>
      </c>
      <c r="P120" t="s">
        <v>46</v>
      </c>
    </row>
    <row r="121" spans="1:16" x14ac:dyDescent="0.25">
      <c r="A121">
        <v>122</v>
      </c>
      <c r="B121" s="2">
        <v>43858.458333333336</v>
      </c>
      <c r="C121" s="2">
        <v>43859.345833333333</v>
      </c>
      <c r="D121">
        <v>5</v>
      </c>
      <c r="E121" t="s">
        <v>4</v>
      </c>
      <c r="F121" t="s">
        <v>3</v>
      </c>
      <c r="G121" t="s">
        <v>35</v>
      </c>
      <c r="H121">
        <v>61</v>
      </c>
      <c r="I121">
        <v>1.72</v>
      </c>
      <c r="J121">
        <v>0.89</v>
      </c>
      <c r="K121" t="s">
        <v>15</v>
      </c>
      <c r="L121">
        <v>97</v>
      </c>
      <c r="M121">
        <v>185</v>
      </c>
      <c r="N121">
        <v>111</v>
      </c>
      <c r="O121">
        <v>55</v>
      </c>
      <c r="P121" t="s">
        <v>44</v>
      </c>
    </row>
    <row r="122" spans="1:16" x14ac:dyDescent="0.25">
      <c r="A122">
        <v>123</v>
      </c>
      <c r="B122" s="2">
        <v>43858.5625</v>
      </c>
      <c r="C122" s="2">
        <v>43859.35</v>
      </c>
      <c r="D122">
        <v>6</v>
      </c>
      <c r="E122" t="s">
        <v>4</v>
      </c>
      <c r="F122" t="s">
        <v>3</v>
      </c>
      <c r="G122" t="s">
        <v>31</v>
      </c>
      <c r="H122">
        <v>62</v>
      </c>
      <c r="I122">
        <v>2.5299999999999998</v>
      </c>
      <c r="J122">
        <v>1.2</v>
      </c>
      <c r="K122" t="s">
        <v>15</v>
      </c>
      <c r="L122">
        <v>72</v>
      </c>
      <c r="M122">
        <v>175</v>
      </c>
      <c r="N122">
        <v>64</v>
      </c>
      <c r="O122">
        <v>55</v>
      </c>
      <c r="P122" t="s">
        <v>44</v>
      </c>
    </row>
    <row r="123" spans="1:16" x14ac:dyDescent="0.25">
      <c r="A123">
        <v>124</v>
      </c>
      <c r="B123" s="2">
        <v>43859.28125</v>
      </c>
      <c r="C123" s="2">
        <v>43859.364583333336</v>
      </c>
      <c r="D123">
        <v>2</v>
      </c>
      <c r="E123" t="s">
        <v>4</v>
      </c>
      <c r="F123" t="s">
        <v>3</v>
      </c>
      <c r="G123" t="s">
        <v>28</v>
      </c>
      <c r="H123">
        <v>76</v>
      </c>
      <c r="I123">
        <v>6.19</v>
      </c>
      <c r="J123">
        <v>2.54</v>
      </c>
      <c r="K123" t="s">
        <v>15</v>
      </c>
      <c r="L123">
        <v>81</v>
      </c>
      <c r="M123">
        <v>175</v>
      </c>
      <c r="N123">
        <v>95</v>
      </c>
      <c r="O123">
        <v>40</v>
      </c>
      <c r="P123" t="s">
        <v>46</v>
      </c>
    </row>
    <row r="124" spans="1:16" x14ac:dyDescent="0.25">
      <c r="A124">
        <v>125</v>
      </c>
      <c r="B124" s="2">
        <v>43860.329861111109</v>
      </c>
      <c r="C124" s="2">
        <v>43860.366666666669</v>
      </c>
      <c r="D124">
        <v>3</v>
      </c>
      <c r="E124" t="s">
        <v>4</v>
      </c>
      <c r="F124" t="s">
        <v>3</v>
      </c>
      <c r="G124" t="s">
        <v>23</v>
      </c>
      <c r="H124">
        <v>27</v>
      </c>
      <c r="I124">
        <v>6.39</v>
      </c>
      <c r="J124">
        <v>1.83</v>
      </c>
      <c r="K124" t="s">
        <v>15</v>
      </c>
      <c r="L124">
        <v>82</v>
      </c>
      <c r="M124">
        <v>155</v>
      </c>
      <c r="N124">
        <v>60</v>
      </c>
      <c r="O124">
        <v>55</v>
      </c>
      <c r="P124" t="s">
        <v>44</v>
      </c>
    </row>
    <row r="125" spans="1:16" x14ac:dyDescent="0.25">
      <c r="A125">
        <v>126</v>
      </c>
      <c r="B125" s="2">
        <v>43839.611111111109</v>
      </c>
      <c r="C125" s="2">
        <v>43860.521527777775</v>
      </c>
      <c r="D125">
        <v>1</v>
      </c>
      <c r="E125" t="s">
        <v>6</v>
      </c>
      <c r="F125" t="s">
        <v>11</v>
      </c>
      <c r="G125" t="s">
        <v>33</v>
      </c>
      <c r="H125">
        <v>78</v>
      </c>
      <c r="I125">
        <v>7.62</v>
      </c>
      <c r="J125">
        <v>3.96</v>
      </c>
      <c r="K125" t="s">
        <v>15</v>
      </c>
      <c r="L125">
        <v>73</v>
      </c>
      <c r="M125">
        <v>173</v>
      </c>
      <c r="N125">
        <v>74</v>
      </c>
      <c r="O125">
        <v>45</v>
      </c>
      <c r="P125" t="s">
        <v>46</v>
      </c>
    </row>
    <row r="126" spans="1:16" x14ac:dyDescent="0.25">
      <c r="A126">
        <v>127</v>
      </c>
      <c r="B126" s="2">
        <v>43859.419444444444</v>
      </c>
      <c r="C126" s="2">
        <v>43860.537499999999</v>
      </c>
      <c r="D126">
        <v>2</v>
      </c>
      <c r="E126" t="s">
        <v>4</v>
      </c>
      <c r="F126" t="s">
        <v>11</v>
      </c>
      <c r="G126" t="s">
        <v>36</v>
      </c>
      <c r="H126">
        <v>68</v>
      </c>
      <c r="I126">
        <v>2.71</v>
      </c>
      <c r="J126">
        <v>4.08</v>
      </c>
      <c r="K126" t="s">
        <v>13</v>
      </c>
      <c r="L126">
        <v>68</v>
      </c>
      <c r="M126">
        <v>172</v>
      </c>
      <c r="N126">
        <v>86</v>
      </c>
      <c r="O126">
        <v>45</v>
      </c>
      <c r="P126" t="s">
        <v>46</v>
      </c>
    </row>
    <row r="127" spans="1:16" x14ac:dyDescent="0.25">
      <c r="A127">
        <v>128</v>
      </c>
      <c r="B127" s="2">
        <v>43860.311805555553</v>
      </c>
      <c r="C127" s="2">
        <v>43860.54791666667</v>
      </c>
      <c r="D127">
        <v>6</v>
      </c>
      <c r="E127" t="s">
        <v>4</v>
      </c>
      <c r="F127" t="s">
        <v>3</v>
      </c>
      <c r="G127" t="s">
        <v>22</v>
      </c>
      <c r="H127">
        <v>59</v>
      </c>
      <c r="I127">
        <v>1.51</v>
      </c>
      <c r="J127">
        <v>0.75</v>
      </c>
      <c r="K127" t="s">
        <v>15</v>
      </c>
      <c r="L127">
        <v>88</v>
      </c>
      <c r="M127">
        <v>176</v>
      </c>
      <c r="N127">
        <v>86</v>
      </c>
      <c r="O127">
        <v>55</v>
      </c>
      <c r="P127" t="s">
        <v>44</v>
      </c>
    </row>
    <row r="128" spans="1:16" x14ac:dyDescent="0.25">
      <c r="A128">
        <v>129</v>
      </c>
      <c r="B128" s="2">
        <v>43859.618750000001</v>
      </c>
      <c r="C128" s="2">
        <v>43860.555555555555</v>
      </c>
      <c r="D128">
        <v>5</v>
      </c>
      <c r="E128" t="s">
        <v>6</v>
      </c>
      <c r="F128" t="s">
        <v>3</v>
      </c>
      <c r="G128" t="s">
        <v>32</v>
      </c>
      <c r="H128">
        <v>76</v>
      </c>
      <c r="I128">
        <v>16.57</v>
      </c>
      <c r="J128">
        <v>3.31</v>
      </c>
      <c r="K128" t="s">
        <v>15</v>
      </c>
      <c r="L128">
        <v>95</v>
      </c>
      <c r="M128">
        <v>175</v>
      </c>
      <c r="N128">
        <v>102</v>
      </c>
      <c r="O128">
        <v>45</v>
      </c>
      <c r="P128" t="s">
        <v>46</v>
      </c>
    </row>
    <row r="129" spans="1:16" x14ac:dyDescent="0.25">
      <c r="A129">
        <v>130</v>
      </c>
      <c r="B129" s="2">
        <v>43854.708333333336</v>
      </c>
      <c r="C129" s="2">
        <v>43861.333333333336</v>
      </c>
      <c r="D129">
        <v>2</v>
      </c>
      <c r="E129" t="s">
        <v>6</v>
      </c>
      <c r="F129" t="s">
        <v>10</v>
      </c>
      <c r="G129" t="s">
        <v>21</v>
      </c>
      <c r="H129">
        <v>68</v>
      </c>
      <c r="I129">
        <v>1.59</v>
      </c>
      <c r="J129">
        <v>1.19</v>
      </c>
      <c r="K129" t="s">
        <v>15</v>
      </c>
      <c r="L129">
        <v>72</v>
      </c>
      <c r="M129">
        <v>178</v>
      </c>
      <c r="N129">
        <v>76</v>
      </c>
      <c r="O129">
        <v>55</v>
      </c>
      <c r="P129" t="s">
        <v>44</v>
      </c>
    </row>
    <row r="130" spans="1:16" x14ac:dyDescent="0.25">
      <c r="A130">
        <v>131</v>
      </c>
      <c r="B130" s="2">
        <v>43860.55972222222</v>
      </c>
      <c r="C130" s="2">
        <v>43861.340277777781</v>
      </c>
      <c r="D130">
        <v>3</v>
      </c>
      <c r="E130" t="s">
        <v>4</v>
      </c>
      <c r="F130" t="s">
        <v>3</v>
      </c>
      <c r="G130" t="s">
        <v>35</v>
      </c>
      <c r="H130">
        <v>84</v>
      </c>
      <c r="I130">
        <v>10.95</v>
      </c>
      <c r="J130">
        <v>4.17</v>
      </c>
      <c r="K130" t="s">
        <v>15</v>
      </c>
      <c r="L130">
        <v>79</v>
      </c>
      <c r="M130">
        <v>155</v>
      </c>
      <c r="N130">
        <v>64</v>
      </c>
      <c r="O130">
        <v>50</v>
      </c>
      <c r="P130" t="s">
        <v>46</v>
      </c>
    </row>
    <row r="131" spans="1:16" x14ac:dyDescent="0.25">
      <c r="A131">
        <v>132</v>
      </c>
      <c r="B131" s="2">
        <v>43854.416666666664</v>
      </c>
      <c r="C131" s="2">
        <v>43861.345138888886</v>
      </c>
      <c r="D131">
        <v>5</v>
      </c>
      <c r="E131" t="s">
        <v>6</v>
      </c>
      <c r="F131" t="s">
        <v>11</v>
      </c>
      <c r="G131" t="s">
        <v>22</v>
      </c>
      <c r="H131">
        <v>79</v>
      </c>
      <c r="I131">
        <v>16.97</v>
      </c>
      <c r="J131">
        <v>6.13</v>
      </c>
      <c r="K131" t="s">
        <v>15</v>
      </c>
      <c r="L131">
        <v>86</v>
      </c>
      <c r="M131">
        <v>157</v>
      </c>
      <c r="N131">
        <v>50</v>
      </c>
      <c r="O131">
        <v>57</v>
      </c>
      <c r="P131" t="s">
        <v>44</v>
      </c>
    </row>
    <row r="132" spans="1:16" x14ac:dyDescent="0.25">
      <c r="A132">
        <v>133</v>
      </c>
      <c r="B132" s="2">
        <v>43860.458333333336</v>
      </c>
      <c r="C132" s="2">
        <v>43861.347222222219</v>
      </c>
      <c r="D132">
        <v>6</v>
      </c>
      <c r="E132" t="s">
        <v>6</v>
      </c>
      <c r="F132" t="s">
        <v>5</v>
      </c>
      <c r="G132" t="s">
        <v>26</v>
      </c>
      <c r="H132">
        <v>74</v>
      </c>
      <c r="I132">
        <v>32.729999999999997</v>
      </c>
      <c r="J132">
        <v>20.98</v>
      </c>
      <c r="K132" t="s">
        <v>13</v>
      </c>
      <c r="L132">
        <v>80</v>
      </c>
      <c r="M132">
        <v>180</v>
      </c>
      <c r="N132">
        <v>103</v>
      </c>
      <c r="O132">
        <v>67</v>
      </c>
      <c r="P132" t="s">
        <v>44</v>
      </c>
    </row>
    <row r="133" spans="1:16" x14ac:dyDescent="0.25">
      <c r="A133">
        <v>134</v>
      </c>
      <c r="B133" s="2">
        <v>43860.563888888886</v>
      </c>
      <c r="C133" s="2">
        <v>43861.569444444445</v>
      </c>
      <c r="D133">
        <v>6</v>
      </c>
      <c r="E133" t="s">
        <v>4</v>
      </c>
      <c r="F133" t="s">
        <v>11</v>
      </c>
      <c r="G133" t="s">
        <v>31</v>
      </c>
      <c r="H133">
        <v>69</v>
      </c>
      <c r="I133">
        <v>3.98</v>
      </c>
      <c r="J133">
        <v>2.4900000000000002</v>
      </c>
      <c r="K133" t="s">
        <v>15</v>
      </c>
      <c r="L133">
        <v>65</v>
      </c>
      <c r="M133">
        <v>178</v>
      </c>
      <c r="N133">
        <v>88</v>
      </c>
      <c r="O133">
        <v>44</v>
      </c>
      <c r="P133" t="s">
        <v>46</v>
      </c>
    </row>
    <row r="134" spans="1:16" x14ac:dyDescent="0.25">
      <c r="A134">
        <v>135</v>
      </c>
      <c r="B134" s="2">
        <v>43861.584027777775</v>
      </c>
      <c r="C134" s="2">
        <v>43862.331944444442</v>
      </c>
      <c r="D134">
        <v>2</v>
      </c>
      <c r="E134" t="s">
        <v>4</v>
      </c>
      <c r="F134" t="s">
        <v>11</v>
      </c>
      <c r="G134" t="s">
        <v>22</v>
      </c>
      <c r="H134">
        <v>53</v>
      </c>
      <c r="I134">
        <v>4.37</v>
      </c>
      <c r="J134">
        <v>3.23</v>
      </c>
      <c r="K134" t="s">
        <v>15</v>
      </c>
      <c r="L134">
        <v>67</v>
      </c>
      <c r="M134">
        <v>188</v>
      </c>
      <c r="N134">
        <v>90</v>
      </c>
      <c r="O134">
        <v>59</v>
      </c>
      <c r="P134" t="s">
        <v>44</v>
      </c>
    </row>
    <row r="135" spans="1:16" x14ac:dyDescent="0.25">
      <c r="A135">
        <v>136</v>
      </c>
      <c r="B135" s="2">
        <v>43861.536111111112</v>
      </c>
      <c r="C135" s="2">
        <v>43862.34652777778</v>
      </c>
      <c r="D135">
        <v>5</v>
      </c>
      <c r="E135" t="s">
        <v>4</v>
      </c>
      <c r="F135" t="s">
        <v>3</v>
      </c>
      <c r="G135" t="s">
        <v>35</v>
      </c>
      <c r="H135">
        <v>79</v>
      </c>
      <c r="I135">
        <v>5.48</v>
      </c>
      <c r="J135">
        <v>5.1100000000000003</v>
      </c>
      <c r="K135" t="s">
        <v>15</v>
      </c>
      <c r="L135">
        <v>145</v>
      </c>
      <c r="M135">
        <v>179</v>
      </c>
      <c r="N135">
        <v>84</v>
      </c>
      <c r="O135">
        <v>65</v>
      </c>
      <c r="P135" t="s">
        <v>44</v>
      </c>
    </row>
    <row r="136" spans="1:16" x14ac:dyDescent="0.25">
      <c r="A136">
        <v>137</v>
      </c>
      <c r="B136" s="2">
        <v>43860.524305555555</v>
      </c>
      <c r="C136" s="2">
        <v>43862.475694444445</v>
      </c>
      <c r="D136">
        <v>1</v>
      </c>
      <c r="E136" t="s">
        <v>2</v>
      </c>
      <c r="F136" t="s">
        <v>5</v>
      </c>
      <c r="G136" t="s">
        <v>30</v>
      </c>
      <c r="H136">
        <v>56</v>
      </c>
      <c r="I136">
        <v>16.84</v>
      </c>
      <c r="J136">
        <v>14.56</v>
      </c>
      <c r="K136" t="s">
        <v>15</v>
      </c>
      <c r="L136">
        <v>92</v>
      </c>
      <c r="M136">
        <v>177</v>
      </c>
      <c r="N136">
        <v>72</v>
      </c>
      <c r="O136">
        <v>55</v>
      </c>
      <c r="P136" t="s">
        <v>44</v>
      </c>
    </row>
    <row r="137" spans="1:16" x14ac:dyDescent="0.25">
      <c r="A137">
        <v>138</v>
      </c>
      <c r="B137" s="2">
        <v>43861.579861111109</v>
      </c>
      <c r="C137" s="2">
        <v>43862.534722222219</v>
      </c>
      <c r="D137">
        <v>2</v>
      </c>
      <c r="E137" t="s">
        <v>4</v>
      </c>
      <c r="F137" t="s">
        <v>3</v>
      </c>
      <c r="G137" t="s">
        <v>22</v>
      </c>
      <c r="H137">
        <v>65</v>
      </c>
      <c r="I137">
        <v>2.23</v>
      </c>
      <c r="J137">
        <v>0.64</v>
      </c>
      <c r="K137" t="s">
        <v>15</v>
      </c>
      <c r="L137">
        <v>85</v>
      </c>
      <c r="M137">
        <v>164</v>
      </c>
      <c r="N137">
        <v>86</v>
      </c>
      <c r="O137">
        <v>55</v>
      </c>
      <c r="P137" t="s">
        <v>44</v>
      </c>
    </row>
    <row r="138" spans="1:16" x14ac:dyDescent="0.25">
      <c r="A138">
        <v>139</v>
      </c>
      <c r="B138" s="2">
        <v>43861.646527777775</v>
      </c>
      <c r="C138" s="2">
        <v>43863.430555555555</v>
      </c>
      <c r="D138">
        <v>5</v>
      </c>
      <c r="E138" t="s">
        <v>2</v>
      </c>
      <c r="F138" t="s">
        <v>3</v>
      </c>
      <c r="G138" t="s">
        <v>35</v>
      </c>
      <c r="H138">
        <v>42</v>
      </c>
      <c r="I138">
        <v>3.02</v>
      </c>
      <c r="J138">
        <v>1.01</v>
      </c>
      <c r="K138" t="s">
        <v>15</v>
      </c>
      <c r="L138">
        <v>170</v>
      </c>
      <c r="M138">
        <v>170</v>
      </c>
      <c r="N138">
        <v>60</v>
      </c>
      <c r="O138">
        <v>55</v>
      </c>
      <c r="P138" t="s">
        <v>44</v>
      </c>
    </row>
    <row r="139" spans="1:16" x14ac:dyDescent="0.25">
      <c r="A139">
        <v>140</v>
      </c>
      <c r="B139" s="2">
        <v>43863.583333333336</v>
      </c>
      <c r="C139" s="2">
        <v>43864.420138888891</v>
      </c>
      <c r="D139">
        <v>6</v>
      </c>
      <c r="E139" t="s">
        <v>4</v>
      </c>
      <c r="F139" t="s">
        <v>3</v>
      </c>
      <c r="G139" t="s">
        <v>22</v>
      </c>
      <c r="H139">
        <v>64</v>
      </c>
      <c r="I139">
        <v>2.09</v>
      </c>
      <c r="J139">
        <v>0.75</v>
      </c>
      <c r="K139" t="s">
        <v>15</v>
      </c>
      <c r="L139">
        <v>81</v>
      </c>
      <c r="M139">
        <v>160</v>
      </c>
      <c r="N139">
        <v>65</v>
      </c>
      <c r="O139">
        <v>45</v>
      </c>
      <c r="P139" t="s">
        <v>46</v>
      </c>
    </row>
    <row r="140" spans="1:16" x14ac:dyDescent="0.25">
      <c r="A140">
        <v>141</v>
      </c>
      <c r="B140" s="2">
        <v>43863.6</v>
      </c>
      <c r="C140" s="2">
        <v>43864.513888888891</v>
      </c>
      <c r="D140">
        <v>1</v>
      </c>
      <c r="E140" t="s">
        <v>4</v>
      </c>
      <c r="F140" t="s">
        <v>10</v>
      </c>
      <c r="G140" t="s">
        <v>30</v>
      </c>
      <c r="H140">
        <v>78</v>
      </c>
      <c r="I140">
        <v>3.06</v>
      </c>
      <c r="J140">
        <v>0.93</v>
      </c>
      <c r="K140" t="s">
        <v>15</v>
      </c>
      <c r="L140">
        <v>83</v>
      </c>
      <c r="M140">
        <v>184</v>
      </c>
      <c r="N140">
        <v>85</v>
      </c>
      <c r="O140">
        <v>60</v>
      </c>
      <c r="P140" t="s">
        <v>44</v>
      </c>
    </row>
    <row r="141" spans="1:16" x14ac:dyDescent="0.25">
      <c r="A141">
        <v>142</v>
      </c>
      <c r="B141" s="2">
        <v>43863.423611111109</v>
      </c>
      <c r="C141" s="2">
        <v>43864.566666666666</v>
      </c>
      <c r="D141">
        <v>5</v>
      </c>
      <c r="E141" t="s">
        <v>6</v>
      </c>
      <c r="F141" t="s">
        <v>3</v>
      </c>
      <c r="G141" t="s">
        <v>21</v>
      </c>
      <c r="H141">
        <v>65</v>
      </c>
      <c r="I141">
        <v>4.5999999999999996</v>
      </c>
      <c r="J141">
        <v>4.1100000000000003</v>
      </c>
      <c r="K141" t="s">
        <v>15</v>
      </c>
      <c r="L141">
        <v>74</v>
      </c>
      <c r="M141">
        <v>176</v>
      </c>
      <c r="N141">
        <v>127</v>
      </c>
      <c r="O141">
        <v>55</v>
      </c>
      <c r="P141" t="s">
        <v>44</v>
      </c>
    </row>
    <row r="142" spans="1:16" x14ac:dyDescent="0.25">
      <c r="A142">
        <v>143</v>
      </c>
      <c r="B142" s="2">
        <v>43863.583333333336</v>
      </c>
      <c r="C142" s="2">
        <v>43864.586805555555</v>
      </c>
      <c r="D142">
        <v>2</v>
      </c>
      <c r="E142" t="s">
        <v>4</v>
      </c>
      <c r="F142" t="s">
        <v>11</v>
      </c>
      <c r="G142" t="s">
        <v>31</v>
      </c>
      <c r="H142">
        <v>81</v>
      </c>
      <c r="I142">
        <v>9.7799999999999994</v>
      </c>
      <c r="J142">
        <v>2.5099999999999998</v>
      </c>
      <c r="K142" t="s">
        <v>15</v>
      </c>
      <c r="L142">
        <v>67</v>
      </c>
      <c r="M142">
        <v>172</v>
      </c>
      <c r="N142">
        <v>78</v>
      </c>
      <c r="O142">
        <v>37</v>
      </c>
      <c r="P142" t="s">
        <v>46</v>
      </c>
    </row>
    <row r="143" spans="1:16" x14ac:dyDescent="0.25">
      <c r="A143">
        <v>144</v>
      </c>
      <c r="B143" s="2">
        <v>43863.583333333336</v>
      </c>
      <c r="C143" s="2">
        <v>43864.632638888892</v>
      </c>
      <c r="D143">
        <v>3</v>
      </c>
      <c r="E143" t="s">
        <v>4</v>
      </c>
      <c r="F143" t="s">
        <v>10</v>
      </c>
      <c r="G143" t="s">
        <v>29</v>
      </c>
      <c r="H143">
        <v>48</v>
      </c>
      <c r="I143">
        <v>0.88</v>
      </c>
      <c r="J143">
        <v>0.5</v>
      </c>
      <c r="K143" t="s">
        <v>15</v>
      </c>
      <c r="L143">
        <v>109</v>
      </c>
      <c r="M143">
        <v>152</v>
      </c>
      <c r="N143">
        <v>60</v>
      </c>
      <c r="O143">
        <v>55</v>
      </c>
      <c r="P143" t="s">
        <v>44</v>
      </c>
    </row>
    <row r="144" spans="1:16" x14ac:dyDescent="0.25">
      <c r="A144">
        <v>145</v>
      </c>
      <c r="B144" s="2">
        <v>43864.457638888889</v>
      </c>
      <c r="C144" s="2">
        <v>43865.340277777781</v>
      </c>
      <c r="D144">
        <v>1</v>
      </c>
      <c r="E144" t="s">
        <v>4</v>
      </c>
      <c r="F144" t="s">
        <v>3</v>
      </c>
      <c r="G144" t="s">
        <v>35</v>
      </c>
      <c r="H144">
        <v>74</v>
      </c>
      <c r="I144">
        <v>12.78</v>
      </c>
      <c r="J144">
        <v>5.42</v>
      </c>
      <c r="K144" t="s">
        <v>15</v>
      </c>
      <c r="L144">
        <v>101</v>
      </c>
      <c r="M144">
        <v>171</v>
      </c>
      <c r="N144">
        <v>93</v>
      </c>
      <c r="O144">
        <v>55</v>
      </c>
      <c r="P144" t="s">
        <v>44</v>
      </c>
    </row>
    <row r="145" spans="1:16" x14ac:dyDescent="0.25">
      <c r="A145">
        <v>146</v>
      </c>
      <c r="B145" s="2">
        <v>43864.32708333333</v>
      </c>
      <c r="C145" s="2">
        <v>43865.343055555553</v>
      </c>
      <c r="D145">
        <v>3</v>
      </c>
      <c r="E145" t="s">
        <v>4</v>
      </c>
      <c r="F145" t="s">
        <v>11</v>
      </c>
      <c r="G145" t="s">
        <v>22</v>
      </c>
      <c r="H145">
        <v>55</v>
      </c>
      <c r="I145">
        <v>2.44</v>
      </c>
      <c r="J145">
        <v>2.4300000000000002</v>
      </c>
      <c r="K145" t="s">
        <v>15</v>
      </c>
      <c r="L145">
        <v>67</v>
      </c>
      <c r="M145">
        <v>162</v>
      </c>
      <c r="N145">
        <v>78</v>
      </c>
      <c r="O145">
        <v>62</v>
      </c>
      <c r="P145" t="s">
        <v>44</v>
      </c>
    </row>
    <row r="146" spans="1:16" x14ac:dyDescent="0.25">
      <c r="A146">
        <v>147</v>
      </c>
      <c r="B146" s="2">
        <v>43864.583333333336</v>
      </c>
      <c r="C146" s="2">
        <v>43865.34375</v>
      </c>
      <c r="D146">
        <v>2</v>
      </c>
      <c r="E146" t="s">
        <v>4</v>
      </c>
      <c r="F146" t="s">
        <v>10</v>
      </c>
      <c r="G146" t="s">
        <v>30</v>
      </c>
      <c r="H146">
        <v>53</v>
      </c>
      <c r="I146">
        <v>1.33</v>
      </c>
      <c r="J146">
        <v>0.69</v>
      </c>
      <c r="K146" t="s">
        <v>15</v>
      </c>
      <c r="L146">
        <v>92</v>
      </c>
      <c r="M146">
        <v>157</v>
      </c>
      <c r="N146">
        <v>78</v>
      </c>
      <c r="O146">
        <v>38</v>
      </c>
      <c r="P146" t="s">
        <v>46</v>
      </c>
    </row>
    <row r="147" spans="1:16" x14ac:dyDescent="0.25">
      <c r="A147">
        <v>148</v>
      </c>
      <c r="B147" s="2">
        <v>43865.318055555559</v>
      </c>
      <c r="C147" s="2">
        <v>43865.563888888886</v>
      </c>
      <c r="D147">
        <v>6</v>
      </c>
      <c r="E147" t="s">
        <v>4</v>
      </c>
      <c r="F147" t="s">
        <v>3</v>
      </c>
      <c r="G147" t="s">
        <v>31</v>
      </c>
      <c r="H147">
        <v>73</v>
      </c>
      <c r="I147">
        <v>3.74</v>
      </c>
      <c r="J147">
        <v>0.81</v>
      </c>
      <c r="K147" t="s">
        <v>15</v>
      </c>
      <c r="L147">
        <v>83</v>
      </c>
      <c r="M147">
        <v>187</v>
      </c>
      <c r="N147">
        <v>70</v>
      </c>
      <c r="O147">
        <v>30</v>
      </c>
      <c r="P147" t="s">
        <v>45</v>
      </c>
    </row>
    <row r="148" spans="1:16" x14ac:dyDescent="0.25">
      <c r="A148">
        <v>149</v>
      </c>
      <c r="B148" s="2">
        <v>43865.307638888888</v>
      </c>
      <c r="C148" s="2">
        <v>43865.565972222219</v>
      </c>
      <c r="D148">
        <v>2</v>
      </c>
      <c r="E148" t="s">
        <v>4</v>
      </c>
      <c r="F148" t="s">
        <v>10</v>
      </c>
      <c r="G148" t="s">
        <v>30</v>
      </c>
      <c r="H148">
        <v>78</v>
      </c>
      <c r="I148">
        <v>3.06</v>
      </c>
      <c r="J148">
        <v>1.1299999999999999</v>
      </c>
      <c r="K148" t="s">
        <v>15</v>
      </c>
      <c r="L148">
        <v>75</v>
      </c>
      <c r="M148">
        <v>176</v>
      </c>
      <c r="N148">
        <v>90</v>
      </c>
      <c r="O148">
        <v>51</v>
      </c>
      <c r="P148" t="s">
        <v>44</v>
      </c>
    </row>
    <row r="149" spans="1:16" x14ac:dyDescent="0.25">
      <c r="A149">
        <v>150</v>
      </c>
      <c r="B149" s="2">
        <v>43865.458333333336</v>
      </c>
      <c r="C149" s="2">
        <v>43866.341666666667</v>
      </c>
      <c r="D149">
        <v>6</v>
      </c>
      <c r="E149" t="s">
        <v>6</v>
      </c>
      <c r="F149" t="s">
        <v>11</v>
      </c>
      <c r="G149" t="s">
        <v>21</v>
      </c>
      <c r="H149">
        <v>81</v>
      </c>
      <c r="I149">
        <v>6.21</v>
      </c>
      <c r="J149">
        <v>3.81</v>
      </c>
      <c r="K149" t="s">
        <v>15</v>
      </c>
      <c r="L149">
        <v>114</v>
      </c>
      <c r="M149">
        <v>178</v>
      </c>
      <c r="N149">
        <v>95</v>
      </c>
      <c r="O149">
        <v>65</v>
      </c>
      <c r="P149" t="s">
        <v>44</v>
      </c>
    </row>
    <row r="150" spans="1:16" x14ac:dyDescent="0.25">
      <c r="A150">
        <v>151</v>
      </c>
      <c r="B150" s="2">
        <v>43864.59652777778</v>
      </c>
      <c r="C150" s="2">
        <v>43866.344444444447</v>
      </c>
      <c r="D150">
        <v>5</v>
      </c>
      <c r="E150" t="s">
        <v>4</v>
      </c>
      <c r="F150" t="s">
        <v>3</v>
      </c>
      <c r="G150" t="s">
        <v>35</v>
      </c>
      <c r="H150">
        <v>64</v>
      </c>
      <c r="I150">
        <v>7.48</v>
      </c>
      <c r="J150">
        <v>2.11</v>
      </c>
      <c r="K150" t="s">
        <v>15</v>
      </c>
      <c r="L150">
        <v>81</v>
      </c>
      <c r="M150">
        <v>174</v>
      </c>
      <c r="N150">
        <v>82</v>
      </c>
      <c r="O150">
        <v>59</v>
      </c>
      <c r="P150" t="s">
        <v>44</v>
      </c>
    </row>
    <row r="151" spans="1:16" x14ac:dyDescent="0.25">
      <c r="A151">
        <v>152</v>
      </c>
      <c r="B151" s="2">
        <v>43865.78125</v>
      </c>
      <c r="C151" s="2">
        <v>43866.357638888891</v>
      </c>
      <c r="D151">
        <v>3</v>
      </c>
      <c r="E151" t="s">
        <v>6</v>
      </c>
      <c r="F151" t="s">
        <v>10</v>
      </c>
      <c r="G151" t="s">
        <v>31</v>
      </c>
      <c r="H151">
        <v>63</v>
      </c>
      <c r="I151">
        <v>6.38</v>
      </c>
      <c r="J151">
        <v>1.65</v>
      </c>
      <c r="K151" t="s">
        <v>15</v>
      </c>
      <c r="L151">
        <v>130</v>
      </c>
      <c r="M151">
        <v>168</v>
      </c>
      <c r="N151">
        <v>91</v>
      </c>
      <c r="O151">
        <v>65</v>
      </c>
      <c r="P151" t="s">
        <v>44</v>
      </c>
    </row>
    <row r="152" spans="1:16" x14ac:dyDescent="0.25">
      <c r="A152">
        <v>153</v>
      </c>
      <c r="B152" s="2">
        <v>43866.27847222222</v>
      </c>
      <c r="C152" s="2">
        <v>43866.368055555555</v>
      </c>
      <c r="D152">
        <v>2</v>
      </c>
      <c r="E152" t="s">
        <v>4</v>
      </c>
      <c r="F152" t="s">
        <v>3</v>
      </c>
      <c r="G152" t="s">
        <v>28</v>
      </c>
      <c r="H152">
        <v>68</v>
      </c>
      <c r="I152">
        <v>7.71</v>
      </c>
      <c r="J152">
        <v>3.41</v>
      </c>
      <c r="K152" t="s">
        <v>15</v>
      </c>
      <c r="L152">
        <v>88</v>
      </c>
      <c r="M152">
        <v>178</v>
      </c>
      <c r="N152">
        <v>81</v>
      </c>
      <c r="O152">
        <v>55</v>
      </c>
      <c r="P152" t="s">
        <v>44</v>
      </c>
    </row>
    <row r="153" spans="1:16" x14ac:dyDescent="0.25">
      <c r="A153">
        <v>154</v>
      </c>
      <c r="B153" s="2">
        <v>43866.327777777777</v>
      </c>
      <c r="C153" s="2">
        <v>43866.572916666664</v>
      </c>
      <c r="D153">
        <v>2</v>
      </c>
      <c r="E153" t="s">
        <v>4</v>
      </c>
      <c r="F153" t="s">
        <v>11</v>
      </c>
      <c r="G153" t="s">
        <v>28</v>
      </c>
      <c r="H153">
        <v>71</v>
      </c>
      <c r="I153">
        <v>3.29</v>
      </c>
      <c r="J153">
        <v>1.18</v>
      </c>
      <c r="K153" t="s">
        <v>15</v>
      </c>
      <c r="L153">
        <v>67</v>
      </c>
      <c r="M153">
        <v>158</v>
      </c>
      <c r="N153">
        <v>78</v>
      </c>
      <c r="O153">
        <v>60</v>
      </c>
      <c r="P153" t="s">
        <v>44</v>
      </c>
    </row>
    <row r="154" spans="1:16" x14ac:dyDescent="0.25">
      <c r="A154">
        <v>155</v>
      </c>
      <c r="B154" s="2">
        <v>43866.324305555558</v>
      </c>
      <c r="C154" s="2">
        <v>43866.652777777781</v>
      </c>
      <c r="D154">
        <v>3</v>
      </c>
      <c r="E154" t="s">
        <v>6</v>
      </c>
      <c r="F154" t="s">
        <v>10</v>
      </c>
      <c r="G154" t="s">
        <v>23</v>
      </c>
      <c r="H154">
        <v>76</v>
      </c>
      <c r="I154">
        <v>3.7</v>
      </c>
      <c r="J154">
        <v>1.34</v>
      </c>
      <c r="K154" t="s">
        <v>15</v>
      </c>
      <c r="L154">
        <v>98</v>
      </c>
      <c r="M154">
        <v>173</v>
      </c>
      <c r="N154">
        <v>68</v>
      </c>
      <c r="O154">
        <v>50</v>
      </c>
      <c r="P154" t="s">
        <v>46</v>
      </c>
    </row>
    <row r="155" spans="1:16" x14ac:dyDescent="0.25">
      <c r="A155">
        <v>156</v>
      </c>
      <c r="B155" s="2">
        <v>43866.567361111112</v>
      </c>
      <c r="C155" s="2">
        <v>43867.333333333336</v>
      </c>
      <c r="D155">
        <v>3</v>
      </c>
      <c r="E155" t="s">
        <v>4</v>
      </c>
      <c r="F155" t="s">
        <v>3</v>
      </c>
      <c r="G155" t="s">
        <v>34</v>
      </c>
      <c r="H155">
        <v>80</v>
      </c>
      <c r="I155">
        <v>7.94</v>
      </c>
      <c r="J155">
        <v>1.88</v>
      </c>
      <c r="K155" t="s">
        <v>15</v>
      </c>
      <c r="L155">
        <v>83</v>
      </c>
      <c r="M155">
        <v>166</v>
      </c>
      <c r="N155">
        <v>62</v>
      </c>
      <c r="O155">
        <v>55</v>
      </c>
      <c r="P155" t="s">
        <v>44</v>
      </c>
    </row>
    <row r="156" spans="1:16" x14ac:dyDescent="0.25">
      <c r="A156">
        <v>157</v>
      </c>
      <c r="B156" s="2">
        <v>43866.545138888891</v>
      </c>
      <c r="C156" s="2">
        <v>43867.336805555555</v>
      </c>
      <c r="D156">
        <v>5</v>
      </c>
      <c r="E156" t="s">
        <v>4</v>
      </c>
      <c r="F156" t="s">
        <v>10</v>
      </c>
      <c r="G156" t="s">
        <v>31</v>
      </c>
      <c r="H156">
        <v>70</v>
      </c>
      <c r="I156">
        <v>2.74</v>
      </c>
      <c r="J156">
        <v>1.01</v>
      </c>
      <c r="K156" t="s">
        <v>15</v>
      </c>
      <c r="L156">
        <v>86</v>
      </c>
      <c r="M156">
        <v>170</v>
      </c>
      <c r="N156">
        <v>70</v>
      </c>
      <c r="O156">
        <v>45</v>
      </c>
      <c r="P156" t="s">
        <v>46</v>
      </c>
    </row>
    <row r="157" spans="1:16" x14ac:dyDescent="0.25">
      <c r="A157">
        <v>158</v>
      </c>
      <c r="B157" s="2">
        <v>43865.53125</v>
      </c>
      <c r="C157" s="2">
        <v>43867.349305555559</v>
      </c>
      <c r="D157">
        <v>6</v>
      </c>
      <c r="E157" t="s">
        <v>6</v>
      </c>
      <c r="F157" t="s">
        <v>3</v>
      </c>
      <c r="G157" t="s">
        <v>36</v>
      </c>
      <c r="H157">
        <v>50</v>
      </c>
      <c r="I157">
        <v>60.35</v>
      </c>
      <c r="J157">
        <v>48.1</v>
      </c>
      <c r="K157" t="s">
        <v>13</v>
      </c>
      <c r="L157">
        <v>77</v>
      </c>
      <c r="M157">
        <v>180</v>
      </c>
      <c r="N157">
        <v>73</v>
      </c>
      <c r="O157">
        <v>60</v>
      </c>
      <c r="P157" t="s">
        <v>44</v>
      </c>
    </row>
    <row r="158" spans="1:16" x14ac:dyDescent="0.25">
      <c r="A158">
        <v>159</v>
      </c>
      <c r="B158" s="2">
        <v>43867.334027777775</v>
      </c>
      <c r="C158" s="2">
        <v>43867.395833333336</v>
      </c>
      <c r="D158">
        <v>2</v>
      </c>
      <c r="E158" t="s">
        <v>4</v>
      </c>
      <c r="F158" t="s">
        <v>10</v>
      </c>
      <c r="G158" t="s">
        <v>23</v>
      </c>
      <c r="H158">
        <v>85</v>
      </c>
      <c r="I158">
        <v>14.14</v>
      </c>
      <c r="J158">
        <v>3.69</v>
      </c>
      <c r="K158" t="s">
        <v>15</v>
      </c>
      <c r="L158">
        <v>80</v>
      </c>
      <c r="M158">
        <v>173</v>
      </c>
      <c r="N158">
        <v>92</v>
      </c>
      <c r="O158">
        <v>55</v>
      </c>
      <c r="P158" t="s">
        <v>44</v>
      </c>
    </row>
    <row r="159" spans="1:16" x14ac:dyDescent="0.25">
      <c r="A159">
        <v>160</v>
      </c>
      <c r="B159" s="2">
        <v>43866.578472222223</v>
      </c>
      <c r="C159" s="2">
        <v>43867.607638888891</v>
      </c>
      <c r="D159">
        <v>2</v>
      </c>
      <c r="E159" t="s">
        <v>4</v>
      </c>
      <c r="F159" t="s">
        <v>3</v>
      </c>
      <c r="G159" t="s">
        <v>31</v>
      </c>
      <c r="H159">
        <v>74</v>
      </c>
      <c r="I159">
        <v>16.940000000000001</v>
      </c>
      <c r="J159">
        <v>6.72</v>
      </c>
      <c r="K159" t="s">
        <v>15</v>
      </c>
      <c r="L159">
        <v>81</v>
      </c>
      <c r="M159">
        <v>178</v>
      </c>
      <c r="N159">
        <v>75</v>
      </c>
      <c r="O159">
        <v>50</v>
      </c>
      <c r="P159" t="s">
        <v>46</v>
      </c>
    </row>
    <row r="160" spans="1:16" x14ac:dyDescent="0.25">
      <c r="A160">
        <v>161</v>
      </c>
      <c r="B160" s="2">
        <v>43861.416666666664</v>
      </c>
      <c r="C160" s="2">
        <v>43867.618055555555</v>
      </c>
      <c r="D160">
        <v>5</v>
      </c>
      <c r="E160" t="s">
        <v>6</v>
      </c>
      <c r="F160" t="s">
        <v>10</v>
      </c>
      <c r="G160" t="s">
        <v>34</v>
      </c>
      <c r="H160">
        <v>62</v>
      </c>
      <c r="I160">
        <v>1.84</v>
      </c>
      <c r="J160">
        <v>0.94</v>
      </c>
      <c r="K160" t="s">
        <v>15</v>
      </c>
      <c r="L160">
        <v>100</v>
      </c>
      <c r="M160">
        <v>172</v>
      </c>
      <c r="N160">
        <v>94</v>
      </c>
      <c r="O160">
        <v>55</v>
      </c>
      <c r="P160" t="s">
        <v>44</v>
      </c>
    </row>
    <row r="161" spans="1:16" x14ac:dyDescent="0.25">
      <c r="A161">
        <v>162</v>
      </c>
      <c r="B161" s="2">
        <v>43852.5</v>
      </c>
      <c r="C161" s="2">
        <v>43868.344444444447</v>
      </c>
      <c r="D161">
        <v>3</v>
      </c>
      <c r="E161" t="s">
        <v>6</v>
      </c>
      <c r="F161" t="s">
        <v>10</v>
      </c>
      <c r="G161" t="s">
        <v>33</v>
      </c>
      <c r="H161">
        <v>61</v>
      </c>
      <c r="I161">
        <v>29.02</v>
      </c>
      <c r="J161">
        <v>23.71</v>
      </c>
      <c r="K161" t="s">
        <v>15</v>
      </c>
      <c r="L161">
        <v>80</v>
      </c>
      <c r="M161">
        <v>171</v>
      </c>
      <c r="N161">
        <v>122</v>
      </c>
      <c r="O161">
        <v>73</v>
      </c>
      <c r="P161" t="s">
        <v>44</v>
      </c>
    </row>
    <row r="162" spans="1:16" x14ac:dyDescent="0.25">
      <c r="A162">
        <v>163</v>
      </c>
      <c r="B162" s="2">
        <v>43867.458333333336</v>
      </c>
      <c r="C162" s="2">
        <v>43868.401388888888</v>
      </c>
      <c r="D162">
        <v>6</v>
      </c>
      <c r="E162" t="s">
        <v>6</v>
      </c>
      <c r="F162" t="s">
        <v>10</v>
      </c>
      <c r="G162" t="s">
        <v>31</v>
      </c>
      <c r="H162">
        <v>72</v>
      </c>
      <c r="I162">
        <v>3.35</v>
      </c>
      <c r="J162">
        <v>2.17</v>
      </c>
      <c r="K162" t="s">
        <v>15</v>
      </c>
      <c r="L162">
        <v>70</v>
      </c>
      <c r="M162">
        <v>179</v>
      </c>
      <c r="N162">
        <v>74</v>
      </c>
      <c r="O162">
        <v>66</v>
      </c>
      <c r="P162" t="s">
        <v>44</v>
      </c>
    </row>
    <row r="163" spans="1:16" x14ac:dyDescent="0.25">
      <c r="A163">
        <v>164</v>
      </c>
      <c r="B163" s="2">
        <v>43867.580555555556</v>
      </c>
      <c r="C163" s="2">
        <v>43868.40625</v>
      </c>
      <c r="D163">
        <v>5</v>
      </c>
      <c r="E163" t="s">
        <v>4</v>
      </c>
      <c r="F163" t="s">
        <v>11</v>
      </c>
      <c r="G163" t="s">
        <v>26</v>
      </c>
      <c r="H163">
        <v>77</v>
      </c>
      <c r="I163">
        <v>4.83</v>
      </c>
      <c r="J163">
        <v>1.55</v>
      </c>
      <c r="K163" t="s">
        <v>15</v>
      </c>
      <c r="L163">
        <v>91</v>
      </c>
      <c r="M163">
        <v>178</v>
      </c>
      <c r="N163">
        <v>95</v>
      </c>
      <c r="O163">
        <v>49</v>
      </c>
      <c r="P163" t="s">
        <v>46</v>
      </c>
    </row>
    <row r="164" spans="1:16" x14ac:dyDescent="0.25">
      <c r="A164">
        <v>166</v>
      </c>
      <c r="B164" s="2">
        <v>43868.336805555555</v>
      </c>
      <c r="C164" s="2">
        <v>43868.599305555559</v>
      </c>
      <c r="D164">
        <v>5</v>
      </c>
      <c r="E164" t="s">
        <v>4</v>
      </c>
      <c r="F164" t="s">
        <v>3</v>
      </c>
      <c r="G164" t="s">
        <v>26</v>
      </c>
      <c r="H164">
        <v>76</v>
      </c>
      <c r="I164">
        <v>6.19</v>
      </c>
      <c r="J164">
        <v>1.0900000000000001</v>
      </c>
      <c r="K164" t="s">
        <v>15</v>
      </c>
      <c r="L164">
        <v>73</v>
      </c>
      <c r="M164">
        <v>169</v>
      </c>
      <c r="N164">
        <v>77</v>
      </c>
      <c r="O164">
        <v>25</v>
      </c>
      <c r="P164" t="s">
        <v>45</v>
      </c>
    </row>
    <row r="165" spans="1:16" x14ac:dyDescent="0.25">
      <c r="A165">
        <v>167</v>
      </c>
      <c r="B165" s="2">
        <v>43867.445833333331</v>
      </c>
      <c r="C165" s="2">
        <v>43869.336111111108</v>
      </c>
      <c r="D165">
        <v>5</v>
      </c>
      <c r="E165" t="s">
        <v>4</v>
      </c>
      <c r="F165" t="s">
        <v>3</v>
      </c>
      <c r="G165" t="s">
        <v>33</v>
      </c>
      <c r="H165">
        <v>59</v>
      </c>
      <c r="I165">
        <v>2.08</v>
      </c>
      <c r="J165">
        <v>0.84</v>
      </c>
      <c r="K165" t="s">
        <v>15</v>
      </c>
      <c r="L165">
        <v>96</v>
      </c>
      <c r="M165">
        <v>160</v>
      </c>
      <c r="N165">
        <v>82</v>
      </c>
      <c r="O165">
        <v>61</v>
      </c>
      <c r="P165" t="s">
        <v>44</v>
      </c>
    </row>
    <row r="166" spans="1:16" x14ac:dyDescent="0.25">
      <c r="A166">
        <v>168</v>
      </c>
      <c r="B166" s="2">
        <v>43868.666666666664</v>
      </c>
      <c r="C166" s="2">
        <v>43869.336111111108</v>
      </c>
      <c r="D166">
        <v>2</v>
      </c>
      <c r="E166" t="s">
        <v>4</v>
      </c>
      <c r="F166" t="s">
        <v>3</v>
      </c>
      <c r="G166" t="s">
        <v>23</v>
      </c>
      <c r="H166">
        <v>61</v>
      </c>
      <c r="I166">
        <v>1.72</v>
      </c>
      <c r="J166">
        <v>0.52</v>
      </c>
      <c r="K166" t="s">
        <v>15</v>
      </c>
      <c r="L166">
        <v>74</v>
      </c>
      <c r="M166">
        <v>163</v>
      </c>
      <c r="N166">
        <v>69</v>
      </c>
      <c r="O166">
        <v>60</v>
      </c>
      <c r="P166" t="s">
        <v>44</v>
      </c>
    </row>
    <row r="167" spans="1:16" x14ac:dyDescent="0.25">
      <c r="A167">
        <v>169</v>
      </c>
      <c r="B167" s="2">
        <v>43868.587500000001</v>
      </c>
      <c r="C167" s="2">
        <v>43869.491666666669</v>
      </c>
      <c r="D167">
        <v>2</v>
      </c>
      <c r="E167" t="s">
        <v>4</v>
      </c>
      <c r="F167" t="s">
        <v>11</v>
      </c>
      <c r="G167" t="s">
        <v>30</v>
      </c>
      <c r="H167">
        <v>82</v>
      </c>
      <c r="I167">
        <v>8.9700000000000006</v>
      </c>
      <c r="J167">
        <v>6.06</v>
      </c>
      <c r="K167" t="s">
        <v>15</v>
      </c>
      <c r="L167">
        <v>153</v>
      </c>
      <c r="M167">
        <v>167</v>
      </c>
      <c r="N167">
        <v>87</v>
      </c>
      <c r="O167">
        <v>59</v>
      </c>
      <c r="P167" t="s">
        <v>44</v>
      </c>
    </row>
    <row r="168" spans="1:16" x14ac:dyDescent="0.25">
      <c r="A168">
        <v>170</v>
      </c>
      <c r="B168" s="2">
        <v>43870.583333333336</v>
      </c>
      <c r="C168" s="2">
        <v>43871.334722222222</v>
      </c>
      <c r="D168">
        <v>2</v>
      </c>
      <c r="E168" t="s">
        <v>4</v>
      </c>
      <c r="F168" t="s">
        <v>11</v>
      </c>
      <c r="G168" t="s">
        <v>31</v>
      </c>
      <c r="H168">
        <v>77</v>
      </c>
      <c r="I168">
        <v>4.83</v>
      </c>
      <c r="J168">
        <v>3.14</v>
      </c>
      <c r="K168" t="s">
        <v>15</v>
      </c>
      <c r="L168">
        <v>62</v>
      </c>
      <c r="M168">
        <v>156</v>
      </c>
      <c r="N168">
        <v>66</v>
      </c>
      <c r="O168">
        <v>55</v>
      </c>
      <c r="P168" t="s">
        <v>44</v>
      </c>
    </row>
    <row r="169" spans="1:16" x14ac:dyDescent="0.25">
      <c r="A169">
        <v>171</v>
      </c>
      <c r="B169" s="2">
        <v>43870.583333333336</v>
      </c>
      <c r="C169" s="2">
        <v>43871.336805555555</v>
      </c>
      <c r="D169">
        <v>5</v>
      </c>
      <c r="E169" t="s">
        <v>4</v>
      </c>
      <c r="F169" t="s">
        <v>10</v>
      </c>
      <c r="G169" t="s">
        <v>24</v>
      </c>
      <c r="H169">
        <v>78</v>
      </c>
      <c r="I169">
        <v>5.16</v>
      </c>
      <c r="J169">
        <v>1.46</v>
      </c>
      <c r="K169" t="s">
        <v>15</v>
      </c>
      <c r="L169">
        <v>78</v>
      </c>
      <c r="M169">
        <v>158</v>
      </c>
      <c r="N169">
        <v>66</v>
      </c>
      <c r="O169">
        <v>55</v>
      </c>
      <c r="P169" t="s">
        <v>44</v>
      </c>
    </row>
    <row r="170" spans="1:16" x14ac:dyDescent="0.25">
      <c r="A170">
        <v>172</v>
      </c>
      <c r="B170" s="2">
        <v>43864.454861111109</v>
      </c>
      <c r="C170" s="2">
        <v>43871.338194444441</v>
      </c>
      <c r="D170">
        <v>3</v>
      </c>
      <c r="E170" t="s">
        <v>6</v>
      </c>
      <c r="F170" t="s">
        <v>10</v>
      </c>
      <c r="G170" t="s">
        <v>33</v>
      </c>
      <c r="H170">
        <v>63</v>
      </c>
      <c r="I170">
        <v>1.96</v>
      </c>
      <c r="J170">
        <v>0.97</v>
      </c>
      <c r="K170" t="s">
        <v>15</v>
      </c>
      <c r="L170">
        <v>89</v>
      </c>
      <c r="M170">
        <v>175</v>
      </c>
      <c r="N170">
        <v>84</v>
      </c>
      <c r="O170">
        <v>50</v>
      </c>
      <c r="P170" t="s">
        <v>46</v>
      </c>
    </row>
    <row r="171" spans="1:16" x14ac:dyDescent="0.25">
      <c r="A171">
        <v>173</v>
      </c>
      <c r="B171" s="2">
        <v>43871.290972222225</v>
      </c>
      <c r="C171" s="2">
        <v>43871.347916666666</v>
      </c>
      <c r="D171">
        <v>6</v>
      </c>
      <c r="E171" t="s">
        <v>4</v>
      </c>
      <c r="F171" t="s">
        <v>3</v>
      </c>
      <c r="G171" t="s">
        <v>23</v>
      </c>
      <c r="H171">
        <v>86</v>
      </c>
      <c r="I171">
        <v>8.4600000000000009</v>
      </c>
      <c r="J171">
        <v>1.89</v>
      </c>
      <c r="K171" t="s">
        <v>15</v>
      </c>
      <c r="L171">
        <v>96</v>
      </c>
      <c r="M171">
        <v>175</v>
      </c>
      <c r="N171">
        <v>86</v>
      </c>
      <c r="O171">
        <v>55</v>
      </c>
      <c r="P171" t="s">
        <v>44</v>
      </c>
    </row>
    <row r="172" spans="1:16" x14ac:dyDescent="0.25">
      <c r="A172">
        <v>174</v>
      </c>
      <c r="B172" s="2">
        <v>43871.323611111111</v>
      </c>
      <c r="C172" s="2">
        <v>43871.5625</v>
      </c>
      <c r="D172">
        <v>3</v>
      </c>
      <c r="E172" t="s">
        <v>4</v>
      </c>
      <c r="F172" t="s">
        <v>10</v>
      </c>
      <c r="G172" t="s">
        <v>33</v>
      </c>
      <c r="H172">
        <v>74</v>
      </c>
      <c r="I172">
        <v>4.45</v>
      </c>
      <c r="J172">
        <v>1.41</v>
      </c>
      <c r="K172" t="s">
        <v>15</v>
      </c>
      <c r="L172">
        <v>102</v>
      </c>
      <c r="M172">
        <v>176</v>
      </c>
      <c r="N172">
        <v>85</v>
      </c>
      <c r="O172">
        <v>60</v>
      </c>
      <c r="P172" t="s">
        <v>44</v>
      </c>
    </row>
    <row r="173" spans="1:16" x14ac:dyDescent="0.25">
      <c r="A173">
        <v>175</v>
      </c>
      <c r="B173" s="2">
        <v>43870.458333333336</v>
      </c>
      <c r="C173" s="2">
        <v>43871.571527777778</v>
      </c>
      <c r="D173">
        <v>5</v>
      </c>
      <c r="E173" t="s">
        <v>4</v>
      </c>
      <c r="F173" t="s">
        <v>10</v>
      </c>
      <c r="G173" t="s">
        <v>24</v>
      </c>
      <c r="H173">
        <v>70</v>
      </c>
      <c r="I173">
        <v>4.04</v>
      </c>
      <c r="J173">
        <v>1.34</v>
      </c>
      <c r="K173" t="s">
        <v>15</v>
      </c>
      <c r="L173">
        <v>136</v>
      </c>
      <c r="M173">
        <v>177</v>
      </c>
      <c r="N173">
        <v>78</v>
      </c>
      <c r="O173">
        <v>46</v>
      </c>
      <c r="P173" t="s">
        <v>46</v>
      </c>
    </row>
    <row r="174" spans="1:16" x14ac:dyDescent="0.25">
      <c r="A174">
        <v>176</v>
      </c>
      <c r="B174" s="2">
        <v>43860.458333333336</v>
      </c>
      <c r="C174" s="2">
        <v>43871.580555555556</v>
      </c>
      <c r="D174">
        <v>2</v>
      </c>
      <c r="E174" t="s">
        <v>6</v>
      </c>
      <c r="F174" t="s">
        <v>10</v>
      </c>
      <c r="G174" t="s">
        <v>31</v>
      </c>
      <c r="H174">
        <v>73</v>
      </c>
      <c r="I174">
        <v>5.6</v>
      </c>
      <c r="J174">
        <v>1.75</v>
      </c>
      <c r="K174" t="s">
        <v>15</v>
      </c>
      <c r="L174">
        <v>99</v>
      </c>
      <c r="M174">
        <v>162</v>
      </c>
      <c r="N174">
        <v>82</v>
      </c>
      <c r="O174">
        <v>44</v>
      </c>
      <c r="P174" t="s">
        <v>46</v>
      </c>
    </row>
    <row r="175" spans="1:16" x14ac:dyDescent="0.25">
      <c r="A175">
        <v>177</v>
      </c>
      <c r="B175" s="2">
        <v>43871.577777777777</v>
      </c>
      <c r="C175" s="2">
        <v>43872.332638888889</v>
      </c>
      <c r="D175">
        <v>3</v>
      </c>
      <c r="E175" t="s">
        <v>4</v>
      </c>
      <c r="F175" t="s">
        <v>11</v>
      </c>
      <c r="G175" t="s">
        <v>29</v>
      </c>
      <c r="H175">
        <v>73</v>
      </c>
      <c r="I175">
        <v>10.43</v>
      </c>
      <c r="J175">
        <v>3.39</v>
      </c>
      <c r="K175" t="s">
        <v>15</v>
      </c>
      <c r="L175">
        <v>71</v>
      </c>
      <c r="M175">
        <v>164</v>
      </c>
      <c r="N175">
        <v>72</v>
      </c>
      <c r="O175">
        <v>45</v>
      </c>
      <c r="P175" t="s">
        <v>46</v>
      </c>
    </row>
    <row r="176" spans="1:16" x14ac:dyDescent="0.25">
      <c r="A176">
        <v>178</v>
      </c>
      <c r="B176" s="2">
        <v>43871.458333333336</v>
      </c>
      <c r="C176" s="2">
        <v>43872.340277777781</v>
      </c>
      <c r="D176">
        <v>2</v>
      </c>
      <c r="E176" t="s">
        <v>6</v>
      </c>
      <c r="F176" t="s">
        <v>3</v>
      </c>
      <c r="G176" t="s">
        <v>28</v>
      </c>
      <c r="H176">
        <v>73</v>
      </c>
      <c r="I176">
        <v>3.74</v>
      </c>
      <c r="J176">
        <v>3.82</v>
      </c>
      <c r="K176" t="s">
        <v>15</v>
      </c>
      <c r="L176">
        <v>102</v>
      </c>
      <c r="M176">
        <v>170</v>
      </c>
      <c r="N176">
        <v>72</v>
      </c>
      <c r="O176">
        <v>69</v>
      </c>
      <c r="P176" t="s">
        <v>44</v>
      </c>
    </row>
    <row r="177" spans="1:16" x14ac:dyDescent="0.25">
      <c r="A177">
        <v>179</v>
      </c>
      <c r="B177" s="2">
        <v>43871.597222222219</v>
      </c>
      <c r="C177" s="2">
        <v>43872.343055555553</v>
      </c>
      <c r="D177">
        <v>5</v>
      </c>
      <c r="E177" t="s">
        <v>4</v>
      </c>
      <c r="F177" t="s">
        <v>10</v>
      </c>
      <c r="G177" t="s">
        <v>26</v>
      </c>
      <c r="H177">
        <v>72</v>
      </c>
      <c r="I177">
        <v>2.86</v>
      </c>
      <c r="J177">
        <v>0.97</v>
      </c>
      <c r="K177" t="s">
        <v>15</v>
      </c>
      <c r="L177">
        <v>159</v>
      </c>
      <c r="M177">
        <v>163</v>
      </c>
      <c r="N177">
        <v>60</v>
      </c>
      <c r="O177">
        <v>55</v>
      </c>
      <c r="P177" t="s">
        <v>44</v>
      </c>
    </row>
    <row r="178" spans="1:16" x14ac:dyDescent="0.25">
      <c r="A178">
        <v>180</v>
      </c>
      <c r="B178" s="2">
        <v>43871.438888888886</v>
      </c>
      <c r="C178" s="2">
        <v>43872.369444444441</v>
      </c>
      <c r="D178">
        <v>6</v>
      </c>
      <c r="E178" t="s">
        <v>4</v>
      </c>
      <c r="F178" t="s">
        <v>3</v>
      </c>
      <c r="G178" t="s">
        <v>33</v>
      </c>
      <c r="H178">
        <v>81</v>
      </c>
      <c r="I178">
        <v>12.29</v>
      </c>
      <c r="J178">
        <v>8.15</v>
      </c>
      <c r="K178" t="s">
        <v>15</v>
      </c>
      <c r="L178">
        <v>85</v>
      </c>
      <c r="M178">
        <v>156</v>
      </c>
      <c r="N178">
        <v>69</v>
      </c>
      <c r="O178">
        <v>55</v>
      </c>
      <c r="P178" t="s">
        <v>44</v>
      </c>
    </row>
    <row r="179" spans="1:16" x14ac:dyDescent="0.25">
      <c r="A179">
        <v>181</v>
      </c>
      <c r="B179" s="2">
        <v>43872.32708333333</v>
      </c>
      <c r="C179" s="2">
        <v>43872.572916666664</v>
      </c>
      <c r="D179">
        <v>3</v>
      </c>
      <c r="E179" t="s">
        <v>4</v>
      </c>
      <c r="F179" t="s">
        <v>3</v>
      </c>
      <c r="G179" t="s">
        <v>29</v>
      </c>
      <c r="H179">
        <v>73</v>
      </c>
      <c r="I179">
        <v>11.29</v>
      </c>
      <c r="J179">
        <v>2.94</v>
      </c>
      <c r="K179" t="s">
        <v>15</v>
      </c>
      <c r="L179">
        <v>130</v>
      </c>
      <c r="M179">
        <v>169</v>
      </c>
      <c r="N179">
        <v>90</v>
      </c>
      <c r="O179">
        <v>50</v>
      </c>
      <c r="P179" t="s">
        <v>46</v>
      </c>
    </row>
    <row r="180" spans="1:16" x14ac:dyDescent="0.25">
      <c r="A180">
        <v>182</v>
      </c>
      <c r="B180" s="2">
        <v>43872.301388888889</v>
      </c>
      <c r="C180" s="2">
        <v>43872.59375</v>
      </c>
      <c r="D180">
        <v>5</v>
      </c>
      <c r="E180" t="s">
        <v>4</v>
      </c>
      <c r="F180" t="s">
        <v>3</v>
      </c>
      <c r="G180" t="s">
        <v>26</v>
      </c>
      <c r="H180">
        <v>61</v>
      </c>
      <c r="I180">
        <v>3.56</v>
      </c>
      <c r="J180">
        <v>0.98</v>
      </c>
      <c r="K180" t="s">
        <v>15</v>
      </c>
      <c r="L180">
        <v>88</v>
      </c>
      <c r="M180">
        <v>188</v>
      </c>
      <c r="N180">
        <v>101</v>
      </c>
      <c r="O180">
        <v>60</v>
      </c>
      <c r="P180" t="s">
        <v>44</v>
      </c>
    </row>
    <row r="181" spans="1:16" x14ac:dyDescent="0.25">
      <c r="A181">
        <v>183</v>
      </c>
      <c r="B181" s="2">
        <v>43871.645833333336</v>
      </c>
      <c r="C181" s="2">
        <v>43872.661111111112</v>
      </c>
      <c r="D181">
        <v>6</v>
      </c>
      <c r="E181" t="s">
        <v>4</v>
      </c>
      <c r="F181" t="s">
        <v>3</v>
      </c>
      <c r="G181" t="s">
        <v>24</v>
      </c>
      <c r="H181">
        <v>83</v>
      </c>
      <c r="I181">
        <v>9.52</v>
      </c>
      <c r="J181">
        <v>4.76</v>
      </c>
      <c r="K181" t="s">
        <v>15</v>
      </c>
      <c r="L181">
        <v>79</v>
      </c>
      <c r="M181">
        <v>151</v>
      </c>
      <c r="N181">
        <v>47</v>
      </c>
      <c r="O181">
        <v>55</v>
      </c>
      <c r="P181" t="s">
        <v>44</v>
      </c>
    </row>
    <row r="182" spans="1:16" x14ac:dyDescent="0.25">
      <c r="A182">
        <v>184</v>
      </c>
      <c r="B182" s="2">
        <v>43872.582638888889</v>
      </c>
      <c r="C182" s="2">
        <v>43873.336805555555</v>
      </c>
      <c r="D182">
        <v>6</v>
      </c>
      <c r="E182" t="s">
        <v>4</v>
      </c>
      <c r="F182" t="s">
        <v>1</v>
      </c>
      <c r="G182" t="s">
        <v>22</v>
      </c>
      <c r="H182">
        <v>65</v>
      </c>
      <c r="I182">
        <v>9.9600000000000009</v>
      </c>
      <c r="J182">
        <v>5.13</v>
      </c>
      <c r="K182" t="s">
        <v>15</v>
      </c>
      <c r="L182">
        <v>86</v>
      </c>
      <c r="M182">
        <v>163</v>
      </c>
      <c r="N182">
        <v>64</v>
      </c>
      <c r="O182">
        <v>55</v>
      </c>
      <c r="P182" t="s">
        <v>44</v>
      </c>
    </row>
    <row r="183" spans="1:16" x14ac:dyDescent="0.25">
      <c r="A183">
        <v>185</v>
      </c>
      <c r="B183" s="2">
        <v>43872.583333333336</v>
      </c>
      <c r="C183" s="2">
        <v>43873.347222222219</v>
      </c>
      <c r="D183">
        <v>3</v>
      </c>
      <c r="E183" t="s">
        <v>4</v>
      </c>
      <c r="F183" t="s">
        <v>10</v>
      </c>
      <c r="G183" t="s">
        <v>30</v>
      </c>
      <c r="H183">
        <v>59</v>
      </c>
      <c r="I183">
        <v>0.88</v>
      </c>
      <c r="J183">
        <v>0.56000000000000005</v>
      </c>
      <c r="K183" t="s">
        <v>15</v>
      </c>
      <c r="L183">
        <v>83</v>
      </c>
      <c r="M183">
        <v>170</v>
      </c>
      <c r="N183">
        <v>80</v>
      </c>
      <c r="O183">
        <v>76</v>
      </c>
      <c r="P183" t="s">
        <v>44</v>
      </c>
    </row>
    <row r="184" spans="1:16" x14ac:dyDescent="0.25">
      <c r="A184">
        <v>186</v>
      </c>
      <c r="B184" s="2">
        <v>43847.84097222222</v>
      </c>
      <c r="C184" s="2">
        <v>43873.350694444445</v>
      </c>
      <c r="D184">
        <v>5</v>
      </c>
      <c r="E184" t="s">
        <v>6</v>
      </c>
      <c r="F184" t="s">
        <v>3</v>
      </c>
      <c r="G184" t="s">
        <v>35</v>
      </c>
      <c r="H184">
        <v>73</v>
      </c>
      <c r="I184">
        <v>12.84</v>
      </c>
      <c r="J184">
        <v>4.93</v>
      </c>
      <c r="K184" t="s">
        <v>15</v>
      </c>
      <c r="L184">
        <v>78</v>
      </c>
      <c r="M184">
        <v>181</v>
      </c>
      <c r="N184">
        <v>117</v>
      </c>
      <c r="O184">
        <v>60</v>
      </c>
      <c r="P184" t="s">
        <v>44</v>
      </c>
    </row>
    <row r="185" spans="1:16" x14ac:dyDescent="0.25">
      <c r="A185">
        <v>187</v>
      </c>
      <c r="B185" s="2">
        <v>43873.293055555558</v>
      </c>
      <c r="C185" s="2">
        <v>43873.356944444444</v>
      </c>
      <c r="D185">
        <v>2</v>
      </c>
      <c r="E185" t="s">
        <v>4</v>
      </c>
      <c r="F185" t="s">
        <v>3</v>
      </c>
      <c r="G185" t="s">
        <v>28</v>
      </c>
      <c r="H185">
        <v>70</v>
      </c>
      <c r="I185">
        <v>8.73</v>
      </c>
      <c r="J185">
        <v>1.37</v>
      </c>
      <c r="K185" t="s">
        <v>15</v>
      </c>
      <c r="L185">
        <v>85</v>
      </c>
      <c r="M185">
        <v>165</v>
      </c>
      <c r="N185">
        <v>111</v>
      </c>
      <c r="O185">
        <v>55</v>
      </c>
      <c r="P185" t="s">
        <v>44</v>
      </c>
    </row>
    <row r="186" spans="1:16" x14ac:dyDescent="0.25">
      <c r="A186">
        <v>188</v>
      </c>
      <c r="B186" s="2">
        <v>43873.333333333336</v>
      </c>
      <c r="C186" s="2">
        <v>43873.561805555553</v>
      </c>
      <c r="D186">
        <v>6</v>
      </c>
      <c r="E186" t="s">
        <v>4</v>
      </c>
      <c r="F186" t="s">
        <v>3</v>
      </c>
      <c r="G186" t="s">
        <v>34</v>
      </c>
      <c r="H186">
        <v>70</v>
      </c>
      <c r="I186">
        <v>4.24</v>
      </c>
      <c r="J186">
        <v>0.92</v>
      </c>
      <c r="K186" t="s">
        <v>15</v>
      </c>
      <c r="L186">
        <v>139</v>
      </c>
      <c r="M186">
        <v>168</v>
      </c>
      <c r="N186">
        <v>87</v>
      </c>
      <c r="O186">
        <v>44</v>
      </c>
      <c r="P186" t="s">
        <v>46</v>
      </c>
    </row>
    <row r="187" spans="1:16" x14ac:dyDescent="0.25">
      <c r="A187">
        <v>189</v>
      </c>
      <c r="B187" s="2">
        <v>43873.310416666667</v>
      </c>
      <c r="C187" s="2">
        <v>43873.575694444444</v>
      </c>
      <c r="D187">
        <v>3</v>
      </c>
      <c r="E187" t="s">
        <v>4</v>
      </c>
      <c r="F187" t="s">
        <v>3</v>
      </c>
      <c r="G187" t="s">
        <v>30</v>
      </c>
      <c r="H187">
        <v>58</v>
      </c>
      <c r="I187">
        <v>1.51</v>
      </c>
      <c r="J187">
        <v>0.5</v>
      </c>
      <c r="K187" t="s">
        <v>15</v>
      </c>
      <c r="L187">
        <v>73</v>
      </c>
      <c r="M187">
        <v>180</v>
      </c>
      <c r="N187">
        <v>101</v>
      </c>
      <c r="O187">
        <v>45</v>
      </c>
      <c r="P187" t="s">
        <v>46</v>
      </c>
    </row>
    <row r="188" spans="1:16" x14ac:dyDescent="0.25">
      <c r="A188">
        <v>190</v>
      </c>
      <c r="B188" s="2">
        <v>43874.157638888886</v>
      </c>
      <c r="C188" s="2">
        <v>43874.243055555555</v>
      </c>
      <c r="D188">
        <v>2</v>
      </c>
      <c r="E188" t="s">
        <v>2</v>
      </c>
      <c r="F188" t="s">
        <v>1</v>
      </c>
      <c r="G188" t="s">
        <v>25</v>
      </c>
      <c r="H188">
        <v>74</v>
      </c>
      <c r="I188">
        <v>42.01</v>
      </c>
      <c r="J188">
        <v>5.85</v>
      </c>
      <c r="K188" t="s">
        <v>15</v>
      </c>
      <c r="L188">
        <v>73</v>
      </c>
      <c r="M188">
        <v>178</v>
      </c>
      <c r="N188">
        <v>77</v>
      </c>
      <c r="O188">
        <v>45</v>
      </c>
      <c r="P188" t="s">
        <v>46</v>
      </c>
    </row>
    <row r="189" spans="1:16" x14ac:dyDescent="0.25">
      <c r="A189">
        <v>191</v>
      </c>
      <c r="B189" s="2">
        <v>43873.5625</v>
      </c>
      <c r="C189" s="2">
        <v>43874.349305555559</v>
      </c>
      <c r="D189">
        <v>3</v>
      </c>
      <c r="E189" t="s">
        <v>4</v>
      </c>
      <c r="F189" t="s">
        <v>3</v>
      </c>
      <c r="G189" t="s">
        <v>23</v>
      </c>
      <c r="H189">
        <v>75</v>
      </c>
      <c r="I189">
        <v>4.25</v>
      </c>
      <c r="J189">
        <v>1.32</v>
      </c>
      <c r="K189" t="s">
        <v>15</v>
      </c>
      <c r="L189">
        <v>98</v>
      </c>
      <c r="M189">
        <v>175</v>
      </c>
      <c r="N189">
        <v>106</v>
      </c>
      <c r="O189">
        <v>60</v>
      </c>
      <c r="P189" t="s">
        <v>44</v>
      </c>
    </row>
    <row r="190" spans="1:16" x14ac:dyDescent="0.25">
      <c r="A190">
        <v>192</v>
      </c>
      <c r="B190" s="2">
        <v>43873.444444444445</v>
      </c>
      <c r="C190" s="2">
        <v>43874.35</v>
      </c>
      <c r="D190">
        <v>1</v>
      </c>
      <c r="E190" t="s">
        <v>4</v>
      </c>
      <c r="F190" t="s">
        <v>3</v>
      </c>
      <c r="G190" t="s">
        <v>33</v>
      </c>
      <c r="H190">
        <v>79</v>
      </c>
      <c r="I190">
        <v>7.46</v>
      </c>
      <c r="J190">
        <v>2.73</v>
      </c>
      <c r="K190" t="s">
        <v>15</v>
      </c>
      <c r="L190">
        <v>83</v>
      </c>
      <c r="M190">
        <v>161</v>
      </c>
      <c r="N190">
        <v>79</v>
      </c>
      <c r="O190">
        <v>60</v>
      </c>
      <c r="P190" t="s">
        <v>44</v>
      </c>
    </row>
    <row r="191" spans="1:16" x14ac:dyDescent="0.25">
      <c r="A191">
        <v>193</v>
      </c>
      <c r="B191" s="2">
        <v>43873.574305555558</v>
      </c>
      <c r="C191" s="2">
        <v>43874.352083333331</v>
      </c>
      <c r="D191">
        <v>5</v>
      </c>
      <c r="E191" t="s">
        <v>4</v>
      </c>
      <c r="F191" t="s">
        <v>10</v>
      </c>
      <c r="G191" t="s">
        <v>32</v>
      </c>
      <c r="H191">
        <v>72</v>
      </c>
      <c r="I191">
        <v>20.77</v>
      </c>
      <c r="J191">
        <v>14.79</v>
      </c>
      <c r="K191" t="s">
        <v>15</v>
      </c>
      <c r="L191">
        <v>69</v>
      </c>
      <c r="M191">
        <v>170</v>
      </c>
      <c r="N191">
        <v>90</v>
      </c>
      <c r="O191">
        <v>60</v>
      </c>
      <c r="P191" t="s">
        <v>44</v>
      </c>
    </row>
    <row r="192" spans="1:16" x14ac:dyDescent="0.25">
      <c r="A192">
        <v>194</v>
      </c>
      <c r="B192" s="2">
        <v>43871.831250000003</v>
      </c>
      <c r="C192" s="2">
        <v>43874.368055555555</v>
      </c>
      <c r="D192">
        <v>6</v>
      </c>
      <c r="E192" t="s">
        <v>2</v>
      </c>
      <c r="F192" t="s">
        <v>1</v>
      </c>
      <c r="G192" t="s">
        <v>22</v>
      </c>
      <c r="H192">
        <v>83</v>
      </c>
      <c r="I192">
        <v>75.38</v>
      </c>
      <c r="J192">
        <v>32.840000000000003</v>
      </c>
      <c r="K192" t="s">
        <v>13</v>
      </c>
      <c r="L192">
        <v>90</v>
      </c>
      <c r="M192">
        <v>175</v>
      </c>
      <c r="N192">
        <v>99</v>
      </c>
      <c r="O192">
        <v>44</v>
      </c>
      <c r="P192" t="s">
        <v>46</v>
      </c>
    </row>
    <row r="193" spans="1:16" x14ac:dyDescent="0.25">
      <c r="A193">
        <v>195</v>
      </c>
      <c r="B193" s="2">
        <v>43874.580555555556</v>
      </c>
      <c r="C193" s="2">
        <v>43875.336805555555</v>
      </c>
      <c r="D193">
        <v>3</v>
      </c>
      <c r="E193" t="s">
        <v>4</v>
      </c>
      <c r="F193" t="s">
        <v>3</v>
      </c>
      <c r="G193" t="s">
        <v>35</v>
      </c>
      <c r="H193">
        <v>77</v>
      </c>
      <c r="I193">
        <v>4.83</v>
      </c>
      <c r="J193">
        <v>3.77</v>
      </c>
      <c r="K193" t="s">
        <v>15</v>
      </c>
      <c r="L193">
        <v>180</v>
      </c>
      <c r="M193">
        <v>168</v>
      </c>
      <c r="N193">
        <v>81</v>
      </c>
      <c r="O193">
        <v>60</v>
      </c>
      <c r="P193" t="s">
        <v>44</v>
      </c>
    </row>
    <row r="194" spans="1:16" x14ac:dyDescent="0.25">
      <c r="A194">
        <v>196</v>
      </c>
      <c r="B194" s="2">
        <v>43863.770833333336</v>
      </c>
      <c r="C194" s="2">
        <v>43875.351388888892</v>
      </c>
      <c r="D194">
        <v>5</v>
      </c>
      <c r="E194" t="s">
        <v>6</v>
      </c>
      <c r="F194" t="s">
        <v>11</v>
      </c>
      <c r="G194" t="s">
        <v>22</v>
      </c>
      <c r="H194">
        <v>82</v>
      </c>
      <c r="I194">
        <v>15.67</v>
      </c>
      <c r="J194">
        <v>6.87</v>
      </c>
      <c r="K194" t="s">
        <v>15</v>
      </c>
      <c r="L194">
        <v>71</v>
      </c>
      <c r="M194">
        <v>172</v>
      </c>
      <c r="N194">
        <v>85</v>
      </c>
      <c r="O194">
        <v>50</v>
      </c>
      <c r="P194" t="s">
        <v>46</v>
      </c>
    </row>
    <row r="195" spans="1:16" x14ac:dyDescent="0.25">
      <c r="A195">
        <v>197</v>
      </c>
      <c r="B195" s="2">
        <v>43874.90625</v>
      </c>
      <c r="C195" s="2">
        <v>43875.459027777775</v>
      </c>
      <c r="D195">
        <v>1</v>
      </c>
      <c r="E195" t="s">
        <v>4</v>
      </c>
      <c r="F195" t="s">
        <v>11</v>
      </c>
      <c r="G195" t="s">
        <v>31</v>
      </c>
      <c r="H195">
        <v>74</v>
      </c>
      <c r="I195">
        <v>3.99</v>
      </c>
      <c r="J195">
        <v>2.31</v>
      </c>
      <c r="K195" t="s">
        <v>15</v>
      </c>
      <c r="L195">
        <v>85</v>
      </c>
      <c r="M195">
        <v>171</v>
      </c>
      <c r="N195">
        <v>113</v>
      </c>
      <c r="O195">
        <v>23</v>
      </c>
      <c r="P195" t="s">
        <v>45</v>
      </c>
    </row>
    <row r="196" spans="1:16" x14ac:dyDescent="0.25">
      <c r="A196">
        <v>198</v>
      </c>
      <c r="B196" s="2">
        <v>43875.307638888888</v>
      </c>
      <c r="C196" s="2">
        <v>43875.548611111109</v>
      </c>
      <c r="D196">
        <v>3</v>
      </c>
      <c r="E196" t="s">
        <v>4</v>
      </c>
      <c r="F196" t="s">
        <v>3</v>
      </c>
      <c r="G196" t="s">
        <v>35</v>
      </c>
      <c r="H196">
        <v>83</v>
      </c>
      <c r="I196">
        <v>27.88</v>
      </c>
      <c r="J196">
        <v>12.95</v>
      </c>
      <c r="K196" t="s">
        <v>15</v>
      </c>
      <c r="L196">
        <v>90</v>
      </c>
      <c r="M196">
        <v>174</v>
      </c>
      <c r="N196">
        <v>110</v>
      </c>
      <c r="O196">
        <v>20</v>
      </c>
      <c r="P196" t="s">
        <v>47</v>
      </c>
    </row>
    <row r="197" spans="1:16" x14ac:dyDescent="0.25">
      <c r="A197">
        <v>199</v>
      </c>
      <c r="B197" s="2">
        <v>43875.317361111112</v>
      </c>
      <c r="C197" s="2">
        <v>43875.604166666664</v>
      </c>
      <c r="D197">
        <v>5</v>
      </c>
      <c r="E197" t="s">
        <v>4</v>
      </c>
      <c r="F197" t="s">
        <v>1</v>
      </c>
      <c r="G197" t="s">
        <v>22</v>
      </c>
      <c r="H197">
        <v>68</v>
      </c>
      <c r="I197">
        <v>11</v>
      </c>
      <c r="J197">
        <v>5.67</v>
      </c>
      <c r="K197" t="s">
        <v>15</v>
      </c>
      <c r="L197">
        <v>105</v>
      </c>
      <c r="M197">
        <v>171</v>
      </c>
      <c r="N197">
        <v>71</v>
      </c>
      <c r="O197">
        <v>50</v>
      </c>
      <c r="P197" t="s">
        <v>46</v>
      </c>
    </row>
    <row r="198" spans="1:16" x14ac:dyDescent="0.25">
      <c r="A198">
        <v>200</v>
      </c>
      <c r="B198" s="2">
        <v>43874.454861111109</v>
      </c>
      <c r="C198" s="2">
        <v>43875.655555555553</v>
      </c>
      <c r="D198">
        <v>1</v>
      </c>
      <c r="E198" t="s">
        <v>6</v>
      </c>
      <c r="F198" t="s">
        <v>10</v>
      </c>
      <c r="G198" t="s">
        <v>31</v>
      </c>
      <c r="H198">
        <v>71</v>
      </c>
      <c r="I198">
        <v>3.3</v>
      </c>
      <c r="J198">
        <v>1.64</v>
      </c>
      <c r="K198" t="s">
        <v>15</v>
      </c>
      <c r="L198">
        <v>113</v>
      </c>
      <c r="M198">
        <v>166</v>
      </c>
      <c r="N198">
        <v>102</v>
      </c>
      <c r="O198">
        <v>25</v>
      </c>
      <c r="P198" t="s">
        <v>45</v>
      </c>
    </row>
    <row r="199" spans="1:16" x14ac:dyDescent="0.25">
      <c r="A199">
        <v>201</v>
      </c>
      <c r="B199" s="2">
        <v>43875.503472222219</v>
      </c>
      <c r="C199" s="2">
        <v>43876.32708333333</v>
      </c>
      <c r="D199">
        <v>5</v>
      </c>
      <c r="E199" t="s">
        <v>4</v>
      </c>
      <c r="F199" t="s">
        <v>10</v>
      </c>
      <c r="G199" t="s">
        <v>30</v>
      </c>
      <c r="H199">
        <v>63</v>
      </c>
      <c r="I199">
        <v>1.1499999999999999</v>
      </c>
      <c r="J199">
        <v>0.61</v>
      </c>
      <c r="K199" t="s">
        <v>15</v>
      </c>
      <c r="L199">
        <v>135</v>
      </c>
      <c r="M199">
        <v>164</v>
      </c>
      <c r="N199">
        <v>66</v>
      </c>
      <c r="O199">
        <v>55</v>
      </c>
      <c r="P199" t="s">
        <v>44</v>
      </c>
    </row>
    <row r="200" spans="1:16" x14ac:dyDescent="0.25">
      <c r="A200">
        <v>202</v>
      </c>
      <c r="B200" s="2">
        <v>43875.625</v>
      </c>
      <c r="C200" s="2">
        <v>43876.352777777778</v>
      </c>
      <c r="D200">
        <v>2</v>
      </c>
      <c r="E200" t="s">
        <v>4</v>
      </c>
      <c r="F200" t="s">
        <v>3</v>
      </c>
      <c r="G200" t="s">
        <v>34</v>
      </c>
      <c r="H200">
        <v>69</v>
      </c>
      <c r="I200">
        <v>6.35</v>
      </c>
      <c r="J200">
        <v>4.37</v>
      </c>
      <c r="K200" t="s">
        <v>15</v>
      </c>
      <c r="L200">
        <v>84</v>
      </c>
      <c r="M200">
        <v>179</v>
      </c>
      <c r="N200">
        <v>83</v>
      </c>
      <c r="O200">
        <v>50</v>
      </c>
      <c r="P200" t="s">
        <v>46</v>
      </c>
    </row>
    <row r="201" spans="1:16" x14ac:dyDescent="0.25">
      <c r="A201">
        <v>203</v>
      </c>
      <c r="B201" s="2">
        <v>43876.022916666669</v>
      </c>
      <c r="C201" s="2">
        <v>43876.527083333334</v>
      </c>
      <c r="D201">
        <v>5</v>
      </c>
      <c r="E201" t="s">
        <v>2</v>
      </c>
      <c r="F201" t="s">
        <v>5</v>
      </c>
      <c r="G201" t="s">
        <v>31</v>
      </c>
      <c r="H201">
        <v>54</v>
      </c>
      <c r="I201">
        <v>4.16</v>
      </c>
      <c r="J201">
        <v>4.29</v>
      </c>
      <c r="K201" t="s">
        <v>15</v>
      </c>
      <c r="L201">
        <v>82</v>
      </c>
      <c r="M201">
        <v>172</v>
      </c>
      <c r="N201">
        <v>73</v>
      </c>
      <c r="O201">
        <v>40</v>
      </c>
      <c r="P201" t="s">
        <v>46</v>
      </c>
    </row>
    <row r="202" spans="1:16" x14ac:dyDescent="0.25">
      <c r="A202">
        <v>204</v>
      </c>
      <c r="B202" s="2">
        <v>43877.583333333336</v>
      </c>
      <c r="C202" s="2">
        <v>43878.329861111109</v>
      </c>
      <c r="D202">
        <v>1</v>
      </c>
      <c r="E202" t="s">
        <v>4</v>
      </c>
      <c r="F202" t="s">
        <v>10</v>
      </c>
      <c r="G202" t="s">
        <v>30</v>
      </c>
      <c r="H202">
        <v>72</v>
      </c>
      <c r="I202">
        <v>3.91</v>
      </c>
      <c r="J202">
        <v>1.2</v>
      </c>
      <c r="K202" t="s">
        <v>15</v>
      </c>
      <c r="L202">
        <v>66</v>
      </c>
      <c r="M202">
        <v>172</v>
      </c>
      <c r="N202">
        <v>79</v>
      </c>
      <c r="O202">
        <v>45</v>
      </c>
      <c r="P202" t="s">
        <v>46</v>
      </c>
    </row>
    <row r="203" spans="1:16" x14ac:dyDescent="0.25">
      <c r="A203">
        <v>205</v>
      </c>
      <c r="B203" s="2">
        <v>43877.583333333336</v>
      </c>
      <c r="C203" s="2">
        <v>43878.336111111108</v>
      </c>
      <c r="D203">
        <v>3</v>
      </c>
      <c r="E203" t="s">
        <v>4</v>
      </c>
      <c r="F203" t="s">
        <v>10</v>
      </c>
      <c r="G203" t="s">
        <v>29</v>
      </c>
      <c r="H203">
        <v>65</v>
      </c>
      <c r="I203">
        <v>2.93</v>
      </c>
      <c r="J203">
        <v>1.47</v>
      </c>
      <c r="K203" t="s">
        <v>15</v>
      </c>
      <c r="L203">
        <v>79</v>
      </c>
      <c r="M203">
        <v>165</v>
      </c>
      <c r="N203">
        <v>91</v>
      </c>
      <c r="O203">
        <v>20</v>
      </c>
      <c r="P203" t="s">
        <v>47</v>
      </c>
    </row>
    <row r="204" spans="1:16" x14ac:dyDescent="0.25">
      <c r="A204">
        <v>206</v>
      </c>
      <c r="B204" s="2">
        <v>43877.583333333336</v>
      </c>
      <c r="C204" s="2">
        <v>43878.338194444441</v>
      </c>
      <c r="D204">
        <v>2</v>
      </c>
      <c r="E204" t="s">
        <v>4</v>
      </c>
      <c r="F204" t="s">
        <v>10</v>
      </c>
      <c r="G204" t="s">
        <v>31</v>
      </c>
      <c r="H204">
        <v>53</v>
      </c>
      <c r="I204">
        <v>0.88</v>
      </c>
      <c r="J204">
        <v>0.56000000000000005</v>
      </c>
      <c r="K204" t="s">
        <v>15</v>
      </c>
      <c r="L204">
        <v>86</v>
      </c>
      <c r="M204">
        <v>178</v>
      </c>
      <c r="N204">
        <v>87</v>
      </c>
      <c r="O204">
        <v>60</v>
      </c>
      <c r="P204" t="s">
        <v>44</v>
      </c>
    </row>
    <row r="205" spans="1:16" x14ac:dyDescent="0.25">
      <c r="A205">
        <v>207</v>
      </c>
      <c r="B205" s="2">
        <v>43875.458333333336</v>
      </c>
      <c r="C205" s="2">
        <v>43878.340277777781</v>
      </c>
      <c r="D205">
        <v>5</v>
      </c>
      <c r="E205" t="s">
        <v>6</v>
      </c>
      <c r="F205" t="s">
        <v>11</v>
      </c>
      <c r="G205" t="s">
        <v>32</v>
      </c>
      <c r="H205">
        <v>78</v>
      </c>
      <c r="I205">
        <v>33.9</v>
      </c>
      <c r="J205">
        <v>18.149999999999999</v>
      </c>
      <c r="K205" t="s">
        <v>15</v>
      </c>
      <c r="L205">
        <v>102</v>
      </c>
      <c r="M205">
        <v>184</v>
      </c>
      <c r="N205">
        <v>86</v>
      </c>
      <c r="O205">
        <v>47</v>
      </c>
      <c r="P205" t="s">
        <v>46</v>
      </c>
    </row>
    <row r="206" spans="1:16" x14ac:dyDescent="0.25">
      <c r="A206">
        <v>208</v>
      </c>
      <c r="B206" s="2">
        <v>43877.595138888886</v>
      </c>
      <c r="C206" s="2">
        <v>43878.383333333331</v>
      </c>
      <c r="D206">
        <v>6</v>
      </c>
      <c r="E206" t="s">
        <v>4</v>
      </c>
      <c r="F206" t="s">
        <v>11</v>
      </c>
      <c r="G206" t="s">
        <v>23</v>
      </c>
      <c r="H206">
        <v>79</v>
      </c>
      <c r="I206">
        <v>14.52</v>
      </c>
      <c r="J206">
        <v>4.7300000000000004</v>
      </c>
      <c r="K206" t="s">
        <v>15</v>
      </c>
      <c r="L206">
        <v>102</v>
      </c>
      <c r="M206">
        <v>173</v>
      </c>
      <c r="N206">
        <v>84</v>
      </c>
      <c r="O206">
        <v>57</v>
      </c>
      <c r="P206" t="s">
        <v>44</v>
      </c>
    </row>
    <row r="207" spans="1:16" x14ac:dyDescent="0.25">
      <c r="A207">
        <v>209</v>
      </c>
      <c r="B207" s="2">
        <v>43878.291666666664</v>
      </c>
      <c r="C207" s="2">
        <v>43878.552777777775</v>
      </c>
      <c r="D207">
        <v>3</v>
      </c>
      <c r="E207" t="s">
        <v>4</v>
      </c>
      <c r="F207" t="s">
        <v>3</v>
      </c>
      <c r="G207" t="s">
        <v>29</v>
      </c>
      <c r="H207">
        <v>67</v>
      </c>
      <c r="I207">
        <v>2.54</v>
      </c>
      <c r="J207">
        <v>0.61</v>
      </c>
      <c r="K207" t="s">
        <v>15</v>
      </c>
      <c r="L207">
        <v>65</v>
      </c>
      <c r="M207">
        <v>170</v>
      </c>
      <c r="N207">
        <v>80</v>
      </c>
      <c r="O207">
        <v>45</v>
      </c>
      <c r="P207" t="s">
        <v>46</v>
      </c>
    </row>
    <row r="208" spans="1:16" x14ac:dyDescent="0.25">
      <c r="A208">
        <v>210</v>
      </c>
      <c r="B208" s="2">
        <v>43878.544444444444</v>
      </c>
      <c r="C208" s="2">
        <v>43878.631944444445</v>
      </c>
      <c r="D208">
        <v>1</v>
      </c>
      <c r="E208" t="s">
        <v>2</v>
      </c>
      <c r="F208" t="s">
        <v>11</v>
      </c>
      <c r="G208" t="s">
        <v>30</v>
      </c>
      <c r="H208">
        <v>77</v>
      </c>
      <c r="I208">
        <v>54.24</v>
      </c>
      <c r="J208">
        <v>18.63</v>
      </c>
      <c r="K208" t="s">
        <v>15</v>
      </c>
      <c r="L208">
        <v>65</v>
      </c>
      <c r="M208">
        <v>166</v>
      </c>
      <c r="N208">
        <v>62</v>
      </c>
      <c r="O208">
        <v>24</v>
      </c>
      <c r="P208" t="s">
        <v>45</v>
      </c>
    </row>
    <row r="209" spans="1:16" x14ac:dyDescent="0.25">
      <c r="A209">
        <v>211</v>
      </c>
      <c r="B209" s="2">
        <v>43878.4375</v>
      </c>
      <c r="C209" s="2">
        <v>43879.333333333336</v>
      </c>
      <c r="D209">
        <v>3</v>
      </c>
      <c r="E209" t="s">
        <v>6</v>
      </c>
      <c r="F209" t="s">
        <v>10</v>
      </c>
      <c r="G209" t="s">
        <v>31</v>
      </c>
      <c r="H209">
        <v>59</v>
      </c>
      <c r="I209">
        <v>1.43</v>
      </c>
      <c r="J209">
        <v>1.58</v>
      </c>
      <c r="K209" t="s">
        <v>15</v>
      </c>
      <c r="L209">
        <v>67</v>
      </c>
      <c r="M209">
        <v>176</v>
      </c>
      <c r="N209">
        <v>74</v>
      </c>
      <c r="O209">
        <v>27</v>
      </c>
      <c r="P209" t="s">
        <v>45</v>
      </c>
    </row>
    <row r="210" spans="1:16" x14ac:dyDescent="0.25">
      <c r="A210">
        <v>212</v>
      </c>
      <c r="B210" s="2">
        <v>43878.560416666667</v>
      </c>
      <c r="C210" s="2">
        <v>43879.342361111114</v>
      </c>
      <c r="D210">
        <v>5</v>
      </c>
      <c r="E210" t="s">
        <v>4</v>
      </c>
      <c r="F210" t="s">
        <v>11</v>
      </c>
      <c r="G210" t="s">
        <v>26</v>
      </c>
      <c r="H210">
        <v>73</v>
      </c>
      <c r="I210">
        <v>8.82</v>
      </c>
      <c r="J210">
        <v>5.16</v>
      </c>
      <c r="K210" t="s">
        <v>15</v>
      </c>
      <c r="L210">
        <v>95</v>
      </c>
      <c r="M210">
        <v>185</v>
      </c>
      <c r="N210">
        <v>92</v>
      </c>
      <c r="O210">
        <v>10</v>
      </c>
      <c r="P210" t="s">
        <v>46</v>
      </c>
    </row>
    <row r="211" spans="1:16" x14ac:dyDescent="0.25">
      <c r="A211">
        <v>213</v>
      </c>
      <c r="B211" s="2">
        <v>43879.291666666664</v>
      </c>
      <c r="C211" s="2">
        <v>43879.474305555559</v>
      </c>
      <c r="D211">
        <v>2</v>
      </c>
      <c r="E211" t="s">
        <v>4</v>
      </c>
      <c r="F211" t="s">
        <v>3</v>
      </c>
      <c r="G211" t="s">
        <v>28</v>
      </c>
      <c r="H211">
        <v>71</v>
      </c>
      <c r="I211">
        <v>8.48</v>
      </c>
      <c r="J211">
        <v>4.71</v>
      </c>
      <c r="K211" t="s">
        <v>15</v>
      </c>
      <c r="L211">
        <v>65</v>
      </c>
      <c r="M211">
        <v>168</v>
      </c>
      <c r="N211">
        <v>93</v>
      </c>
      <c r="O211">
        <v>62</v>
      </c>
      <c r="P211" t="s">
        <v>44</v>
      </c>
    </row>
    <row r="212" spans="1:16" x14ac:dyDescent="0.25">
      <c r="A212">
        <v>214</v>
      </c>
      <c r="B212" s="2">
        <v>43879.324999999997</v>
      </c>
      <c r="C212" s="2">
        <v>43879.609722222223</v>
      </c>
      <c r="D212">
        <v>5</v>
      </c>
      <c r="E212" t="s">
        <v>4</v>
      </c>
      <c r="F212" t="s">
        <v>10</v>
      </c>
      <c r="G212" t="s">
        <v>26</v>
      </c>
      <c r="H212">
        <v>71</v>
      </c>
      <c r="I212">
        <v>3.3</v>
      </c>
      <c r="J212">
        <v>1.07</v>
      </c>
      <c r="K212" t="s">
        <v>15</v>
      </c>
      <c r="L212">
        <v>74</v>
      </c>
      <c r="M212">
        <v>173</v>
      </c>
      <c r="N212">
        <v>93</v>
      </c>
      <c r="O212">
        <v>66</v>
      </c>
      <c r="P212" t="s">
        <v>44</v>
      </c>
    </row>
    <row r="213" spans="1:16" x14ac:dyDescent="0.25">
      <c r="A213">
        <v>215</v>
      </c>
      <c r="B213" s="2">
        <v>43879.416666666664</v>
      </c>
      <c r="C213" s="2">
        <v>43880.322916666664</v>
      </c>
      <c r="D213">
        <v>3</v>
      </c>
      <c r="E213" t="s">
        <v>6</v>
      </c>
      <c r="F213" t="s">
        <v>3</v>
      </c>
      <c r="G213" t="s">
        <v>31</v>
      </c>
      <c r="H213">
        <v>59</v>
      </c>
      <c r="I213">
        <v>1.51</v>
      </c>
      <c r="J213">
        <v>0.92</v>
      </c>
      <c r="K213" t="s">
        <v>15</v>
      </c>
      <c r="L213">
        <v>62</v>
      </c>
      <c r="M213">
        <v>167</v>
      </c>
      <c r="N213">
        <v>77</v>
      </c>
      <c r="O213">
        <v>67</v>
      </c>
      <c r="P213" t="s">
        <v>44</v>
      </c>
    </row>
    <row r="214" spans="1:16" x14ac:dyDescent="0.25">
      <c r="A214">
        <v>216</v>
      </c>
      <c r="B214" s="2">
        <v>43879.569444444445</v>
      </c>
      <c r="C214" s="2">
        <v>43880.340277777781</v>
      </c>
      <c r="D214">
        <v>2</v>
      </c>
      <c r="E214" t="s">
        <v>4</v>
      </c>
      <c r="F214" t="s">
        <v>3</v>
      </c>
      <c r="G214" t="s">
        <v>28</v>
      </c>
      <c r="H214">
        <v>69</v>
      </c>
      <c r="I214">
        <v>2.89</v>
      </c>
      <c r="J214">
        <v>2.52</v>
      </c>
      <c r="K214" t="s">
        <v>15</v>
      </c>
      <c r="L214">
        <v>63</v>
      </c>
      <c r="M214">
        <v>179</v>
      </c>
      <c r="N214">
        <v>88</v>
      </c>
      <c r="O214">
        <v>25</v>
      </c>
      <c r="P214" t="s">
        <v>45</v>
      </c>
    </row>
    <row r="215" spans="1:16" x14ac:dyDescent="0.25">
      <c r="A215">
        <v>217</v>
      </c>
      <c r="B215" s="2">
        <v>43873.458333333336</v>
      </c>
      <c r="C215" s="2">
        <v>43880.342361111114</v>
      </c>
      <c r="D215">
        <v>6</v>
      </c>
      <c r="E215" t="s">
        <v>6</v>
      </c>
      <c r="F215" t="s">
        <v>10</v>
      </c>
      <c r="G215" t="s">
        <v>32</v>
      </c>
      <c r="H215">
        <v>67</v>
      </c>
      <c r="I215">
        <v>2.5499999999999998</v>
      </c>
      <c r="J215">
        <v>1.31</v>
      </c>
      <c r="K215" t="s">
        <v>15</v>
      </c>
      <c r="L215">
        <v>80</v>
      </c>
      <c r="M215">
        <v>160</v>
      </c>
      <c r="N215">
        <v>76</v>
      </c>
      <c r="O215">
        <v>15</v>
      </c>
      <c r="P215" t="s">
        <v>47</v>
      </c>
    </row>
    <row r="216" spans="1:16" x14ac:dyDescent="0.25">
      <c r="A216">
        <v>218</v>
      </c>
      <c r="B216" s="2">
        <v>43879.64166666667</v>
      </c>
      <c r="C216" s="2">
        <v>43880.343055555553</v>
      </c>
      <c r="D216">
        <v>5</v>
      </c>
      <c r="E216" t="s">
        <v>4</v>
      </c>
      <c r="F216" t="s">
        <v>10</v>
      </c>
      <c r="G216" t="s">
        <v>24</v>
      </c>
      <c r="H216">
        <v>71</v>
      </c>
      <c r="I216">
        <v>2.68</v>
      </c>
      <c r="J216">
        <v>1.35</v>
      </c>
      <c r="K216" t="s">
        <v>15</v>
      </c>
      <c r="L216">
        <v>72</v>
      </c>
      <c r="M216">
        <v>178</v>
      </c>
      <c r="N216">
        <v>115</v>
      </c>
      <c r="O216">
        <v>38</v>
      </c>
      <c r="P216" t="s">
        <v>46</v>
      </c>
    </row>
    <row r="217" spans="1:16" x14ac:dyDescent="0.25">
      <c r="A217">
        <v>219</v>
      </c>
      <c r="B217" s="2">
        <v>43875.300694444442</v>
      </c>
      <c r="C217" s="2">
        <v>43880.574999999997</v>
      </c>
      <c r="D217">
        <v>6</v>
      </c>
      <c r="E217" t="s">
        <v>6</v>
      </c>
      <c r="F217" t="s">
        <v>10</v>
      </c>
      <c r="G217" t="s">
        <v>32</v>
      </c>
      <c r="H217">
        <v>56</v>
      </c>
      <c r="I217">
        <v>0.88</v>
      </c>
      <c r="J217">
        <v>0.69</v>
      </c>
      <c r="K217" t="s">
        <v>15</v>
      </c>
      <c r="L217">
        <v>128</v>
      </c>
      <c r="M217">
        <v>179</v>
      </c>
      <c r="N217">
        <v>101</v>
      </c>
      <c r="O217">
        <v>50</v>
      </c>
      <c r="P217" t="s">
        <v>46</v>
      </c>
    </row>
    <row r="218" spans="1:16" x14ac:dyDescent="0.25">
      <c r="A218">
        <v>220</v>
      </c>
      <c r="B218" s="2">
        <v>43880.561111111114</v>
      </c>
      <c r="C218" s="2">
        <v>43881.336805555555</v>
      </c>
      <c r="D218">
        <v>5</v>
      </c>
      <c r="E218" t="s">
        <v>4</v>
      </c>
      <c r="F218" t="s">
        <v>3</v>
      </c>
      <c r="G218" t="s">
        <v>32</v>
      </c>
      <c r="H218">
        <v>75</v>
      </c>
      <c r="I218">
        <v>6.32</v>
      </c>
      <c r="J218">
        <v>4.83</v>
      </c>
      <c r="K218" t="s">
        <v>15</v>
      </c>
      <c r="L218">
        <v>93</v>
      </c>
      <c r="M218">
        <v>167</v>
      </c>
      <c r="N218">
        <v>81</v>
      </c>
      <c r="O218">
        <v>35</v>
      </c>
      <c r="P218" t="s">
        <v>46</v>
      </c>
    </row>
    <row r="219" spans="1:16" x14ac:dyDescent="0.25">
      <c r="A219">
        <v>221</v>
      </c>
      <c r="B219" s="2">
        <v>43880.580555555556</v>
      </c>
      <c r="C219" s="2">
        <v>43881.350694444445</v>
      </c>
      <c r="D219">
        <v>2</v>
      </c>
      <c r="E219" t="s">
        <v>4</v>
      </c>
      <c r="F219" t="s">
        <v>11</v>
      </c>
      <c r="G219" t="s">
        <v>34</v>
      </c>
      <c r="H219">
        <v>83</v>
      </c>
      <c r="I219">
        <v>28.58</v>
      </c>
      <c r="J219">
        <v>7.1</v>
      </c>
      <c r="K219" t="s">
        <v>15</v>
      </c>
      <c r="L219">
        <v>82</v>
      </c>
      <c r="M219">
        <v>170</v>
      </c>
      <c r="N219">
        <v>103</v>
      </c>
      <c r="O219">
        <v>35</v>
      </c>
      <c r="P219" t="s">
        <v>46</v>
      </c>
    </row>
    <row r="220" spans="1:16" x14ac:dyDescent="0.25">
      <c r="A220">
        <v>222</v>
      </c>
      <c r="B220" s="2">
        <v>43880.458333333336</v>
      </c>
      <c r="C220" s="2">
        <v>43881.443749999999</v>
      </c>
      <c r="D220">
        <v>3</v>
      </c>
      <c r="E220" t="s">
        <v>6</v>
      </c>
      <c r="F220" t="s">
        <v>1</v>
      </c>
      <c r="G220" t="s">
        <v>31</v>
      </c>
      <c r="H220">
        <v>71</v>
      </c>
      <c r="I220">
        <v>17.28</v>
      </c>
      <c r="J220">
        <v>6.74</v>
      </c>
      <c r="K220" t="s">
        <v>15</v>
      </c>
      <c r="L220">
        <v>75</v>
      </c>
      <c r="M220">
        <v>162</v>
      </c>
      <c r="N220">
        <v>85</v>
      </c>
      <c r="O220">
        <v>29</v>
      </c>
      <c r="P220" t="s">
        <v>45</v>
      </c>
    </row>
    <row r="221" spans="1:16" x14ac:dyDescent="0.25">
      <c r="A221">
        <v>223</v>
      </c>
      <c r="B221" s="2">
        <v>43880.458333333336</v>
      </c>
      <c r="C221" s="2">
        <v>43881.449305555558</v>
      </c>
      <c r="D221">
        <v>6</v>
      </c>
      <c r="E221" t="s">
        <v>6</v>
      </c>
      <c r="F221" t="s">
        <v>3</v>
      </c>
      <c r="G221" t="s">
        <v>22</v>
      </c>
      <c r="H221">
        <v>70</v>
      </c>
      <c r="I221">
        <v>3.08</v>
      </c>
      <c r="J221">
        <v>1.01</v>
      </c>
      <c r="K221" t="s">
        <v>15</v>
      </c>
      <c r="L221">
        <v>104</v>
      </c>
      <c r="M221">
        <v>173</v>
      </c>
      <c r="N221">
        <v>86</v>
      </c>
      <c r="O221">
        <v>40</v>
      </c>
      <c r="P221" t="s">
        <v>46</v>
      </c>
    </row>
    <row r="222" spans="1:16" x14ac:dyDescent="0.25">
      <c r="A222">
        <v>225</v>
      </c>
      <c r="B222" s="2">
        <v>43881.587500000001</v>
      </c>
      <c r="C222" s="2">
        <v>43882.341666666667</v>
      </c>
      <c r="D222">
        <v>3</v>
      </c>
      <c r="E222" t="s">
        <v>4</v>
      </c>
      <c r="F222" t="s">
        <v>3</v>
      </c>
      <c r="G222" t="s">
        <v>34</v>
      </c>
      <c r="H222">
        <v>54</v>
      </c>
      <c r="I222">
        <v>1.51</v>
      </c>
      <c r="J222">
        <v>0.67</v>
      </c>
      <c r="K222" t="s">
        <v>15</v>
      </c>
      <c r="L222">
        <v>73</v>
      </c>
      <c r="M222">
        <v>149</v>
      </c>
      <c r="N222">
        <v>54</v>
      </c>
      <c r="O222">
        <v>40</v>
      </c>
      <c r="P222" t="s">
        <v>46</v>
      </c>
    </row>
    <row r="223" spans="1:16" x14ac:dyDescent="0.25">
      <c r="A223">
        <v>226</v>
      </c>
      <c r="B223" s="2">
        <v>43881.591666666667</v>
      </c>
      <c r="C223" s="2">
        <v>43882.387499999997</v>
      </c>
      <c r="D223">
        <v>1</v>
      </c>
      <c r="E223" t="s">
        <v>4</v>
      </c>
      <c r="F223" t="s">
        <v>3</v>
      </c>
      <c r="G223" t="s">
        <v>22</v>
      </c>
      <c r="H223">
        <v>24</v>
      </c>
      <c r="I223">
        <v>2.08</v>
      </c>
      <c r="J223">
        <v>0.69</v>
      </c>
      <c r="K223" t="s">
        <v>15</v>
      </c>
      <c r="L223">
        <v>65</v>
      </c>
      <c r="M223">
        <v>167</v>
      </c>
      <c r="N223">
        <v>115</v>
      </c>
      <c r="O223">
        <v>50</v>
      </c>
      <c r="P223" t="s">
        <v>46</v>
      </c>
    </row>
    <row r="224" spans="1:16" x14ac:dyDescent="0.25">
      <c r="A224">
        <v>227</v>
      </c>
      <c r="B224" s="2">
        <v>43871.165277777778</v>
      </c>
      <c r="C224" s="2">
        <v>43882.393055555556</v>
      </c>
      <c r="D224">
        <v>6</v>
      </c>
      <c r="E224" t="s">
        <v>2</v>
      </c>
      <c r="F224" t="s">
        <v>10</v>
      </c>
      <c r="G224" t="s">
        <v>31</v>
      </c>
      <c r="H224">
        <v>74</v>
      </c>
      <c r="I224">
        <v>54.68</v>
      </c>
      <c r="J224">
        <v>51.16</v>
      </c>
      <c r="K224" t="s">
        <v>13</v>
      </c>
      <c r="L224">
        <v>82</v>
      </c>
      <c r="M224">
        <v>146</v>
      </c>
      <c r="N224">
        <v>75</v>
      </c>
      <c r="O224">
        <v>45</v>
      </c>
      <c r="P224" t="s">
        <v>46</v>
      </c>
    </row>
    <row r="225" spans="1:16" x14ac:dyDescent="0.25">
      <c r="A225">
        <v>228</v>
      </c>
      <c r="B225" s="2">
        <v>43882.666666666664</v>
      </c>
      <c r="C225" s="2">
        <v>43883.329861111109</v>
      </c>
      <c r="D225">
        <v>5</v>
      </c>
      <c r="E225" t="s">
        <v>4</v>
      </c>
      <c r="F225" t="s">
        <v>10</v>
      </c>
      <c r="G225" t="s">
        <v>23</v>
      </c>
      <c r="H225">
        <v>61</v>
      </c>
      <c r="I225">
        <v>1.52</v>
      </c>
      <c r="J225">
        <v>0.95</v>
      </c>
      <c r="K225" t="s">
        <v>15</v>
      </c>
      <c r="L225">
        <v>113</v>
      </c>
      <c r="M225">
        <v>157</v>
      </c>
      <c r="N225">
        <v>61</v>
      </c>
      <c r="O225">
        <v>25</v>
      </c>
      <c r="P225" t="s">
        <v>45</v>
      </c>
    </row>
    <row r="226" spans="1:16" x14ac:dyDescent="0.25">
      <c r="A226">
        <v>229</v>
      </c>
      <c r="B226" s="2">
        <v>43882.593055555553</v>
      </c>
      <c r="C226" s="2">
        <v>43883.336111111108</v>
      </c>
      <c r="D226">
        <v>2</v>
      </c>
      <c r="E226" t="s">
        <v>4</v>
      </c>
      <c r="F226" t="s">
        <v>10</v>
      </c>
      <c r="G226" t="s">
        <v>30</v>
      </c>
      <c r="H226">
        <v>73</v>
      </c>
      <c r="I226">
        <v>2.21</v>
      </c>
      <c r="J226">
        <v>1.0900000000000001</v>
      </c>
      <c r="K226" t="s">
        <v>15</v>
      </c>
      <c r="L226">
        <v>81</v>
      </c>
      <c r="M226">
        <v>174</v>
      </c>
      <c r="N226">
        <v>92</v>
      </c>
      <c r="O226">
        <v>66</v>
      </c>
      <c r="P226" t="s">
        <v>44</v>
      </c>
    </row>
    <row r="227" spans="1:16" x14ac:dyDescent="0.25">
      <c r="A227">
        <v>230</v>
      </c>
      <c r="B227" s="2">
        <v>43882.59375</v>
      </c>
      <c r="C227" s="2">
        <v>43883.493750000001</v>
      </c>
      <c r="D227">
        <v>2</v>
      </c>
      <c r="E227" t="s">
        <v>4</v>
      </c>
      <c r="F227" t="s">
        <v>10</v>
      </c>
      <c r="G227" t="s">
        <v>30</v>
      </c>
      <c r="H227">
        <v>68</v>
      </c>
      <c r="I227">
        <v>1.59</v>
      </c>
      <c r="J227">
        <v>0.95</v>
      </c>
      <c r="K227" t="s">
        <v>15</v>
      </c>
      <c r="L227">
        <v>85</v>
      </c>
      <c r="M227">
        <v>170</v>
      </c>
      <c r="N227">
        <v>78</v>
      </c>
      <c r="O227">
        <v>16</v>
      </c>
      <c r="P227" t="s">
        <v>47</v>
      </c>
    </row>
    <row r="228" spans="1:16" x14ac:dyDescent="0.25">
      <c r="A228">
        <v>231</v>
      </c>
      <c r="B228" s="2">
        <v>43882.666666666664</v>
      </c>
      <c r="C228" s="2">
        <v>43883.529166666667</v>
      </c>
      <c r="D228">
        <v>5</v>
      </c>
      <c r="E228" t="s">
        <v>4</v>
      </c>
      <c r="F228" t="s">
        <v>10</v>
      </c>
      <c r="G228" t="s">
        <v>23</v>
      </c>
      <c r="H228">
        <v>73</v>
      </c>
      <c r="I228">
        <v>2.21</v>
      </c>
      <c r="J228">
        <v>0.73</v>
      </c>
      <c r="K228" t="s">
        <v>15</v>
      </c>
      <c r="L228">
        <v>83</v>
      </c>
      <c r="M228">
        <v>170</v>
      </c>
      <c r="N228">
        <v>98</v>
      </c>
      <c r="O228">
        <v>55</v>
      </c>
      <c r="P228" t="s">
        <v>44</v>
      </c>
    </row>
    <row r="229" spans="1:16" x14ac:dyDescent="0.25">
      <c r="A229">
        <v>232</v>
      </c>
      <c r="B229" s="2">
        <v>43873.458333333336</v>
      </c>
      <c r="C229" s="2">
        <v>43885.329861111109</v>
      </c>
      <c r="D229">
        <v>5</v>
      </c>
      <c r="E229" t="s">
        <v>6</v>
      </c>
      <c r="F229" t="s">
        <v>3</v>
      </c>
      <c r="G229" t="s">
        <v>32</v>
      </c>
      <c r="H229">
        <v>79</v>
      </c>
      <c r="I229">
        <v>15.46</v>
      </c>
      <c r="J229">
        <v>20.69</v>
      </c>
      <c r="K229" t="s">
        <v>15</v>
      </c>
      <c r="L229">
        <v>77</v>
      </c>
      <c r="M229">
        <v>182</v>
      </c>
      <c r="N229">
        <v>93</v>
      </c>
      <c r="O229">
        <v>58</v>
      </c>
      <c r="P229" t="s">
        <v>44</v>
      </c>
    </row>
    <row r="230" spans="1:16" x14ac:dyDescent="0.25">
      <c r="A230">
        <v>233</v>
      </c>
      <c r="B230" s="2">
        <v>43884.458333333336</v>
      </c>
      <c r="C230" s="2">
        <v>43885.361111111109</v>
      </c>
      <c r="D230">
        <v>6</v>
      </c>
      <c r="E230" t="s">
        <v>6</v>
      </c>
      <c r="F230" t="s">
        <v>3</v>
      </c>
      <c r="G230" t="s">
        <v>23</v>
      </c>
      <c r="H230">
        <v>73</v>
      </c>
      <c r="I230">
        <v>20.86</v>
      </c>
      <c r="J230">
        <v>14.43</v>
      </c>
      <c r="K230" t="s">
        <v>15</v>
      </c>
      <c r="L230">
        <v>83</v>
      </c>
      <c r="M230">
        <v>170</v>
      </c>
      <c r="N230">
        <v>74</v>
      </c>
      <c r="O230">
        <v>29</v>
      </c>
      <c r="P230" t="s">
        <v>45</v>
      </c>
    </row>
    <row r="231" spans="1:16" x14ac:dyDescent="0.25">
      <c r="A231">
        <v>234</v>
      </c>
      <c r="B231" s="2">
        <v>43884.581944444442</v>
      </c>
      <c r="C231" s="2">
        <v>43885.363888888889</v>
      </c>
      <c r="D231">
        <v>2</v>
      </c>
      <c r="E231" t="s">
        <v>4</v>
      </c>
      <c r="F231" t="s">
        <v>11</v>
      </c>
      <c r="G231" t="s">
        <v>31</v>
      </c>
      <c r="H231">
        <v>60</v>
      </c>
      <c r="I231">
        <v>1.61</v>
      </c>
      <c r="J231">
        <v>1.47</v>
      </c>
      <c r="K231" t="s">
        <v>15</v>
      </c>
      <c r="L231">
        <v>73</v>
      </c>
      <c r="M231">
        <v>156</v>
      </c>
      <c r="N231">
        <v>66</v>
      </c>
      <c r="O231">
        <v>21</v>
      </c>
      <c r="P231" t="s">
        <v>45</v>
      </c>
    </row>
    <row r="232" spans="1:16" x14ac:dyDescent="0.25">
      <c r="A232">
        <v>235</v>
      </c>
      <c r="B232" s="2">
        <v>43875.003472222219</v>
      </c>
      <c r="C232" s="2">
        <v>43885.510416666664</v>
      </c>
      <c r="D232">
        <v>5</v>
      </c>
      <c r="E232" t="s">
        <v>6</v>
      </c>
      <c r="F232" t="s">
        <v>10</v>
      </c>
      <c r="G232" t="s">
        <v>32</v>
      </c>
      <c r="H232">
        <v>73</v>
      </c>
      <c r="I232">
        <v>35.71</v>
      </c>
      <c r="J232">
        <v>29.56</v>
      </c>
      <c r="K232" t="s">
        <v>15</v>
      </c>
      <c r="L232">
        <v>99</v>
      </c>
      <c r="M232">
        <v>173</v>
      </c>
      <c r="N232">
        <v>103</v>
      </c>
      <c r="O232">
        <v>45</v>
      </c>
      <c r="P232" t="s">
        <v>46</v>
      </c>
    </row>
    <row r="233" spans="1:16" x14ac:dyDescent="0.25">
      <c r="A233">
        <v>236</v>
      </c>
      <c r="B233" s="2">
        <v>43884.444444444445</v>
      </c>
      <c r="C233" s="2">
        <v>43885.560416666667</v>
      </c>
      <c r="D233">
        <v>3</v>
      </c>
      <c r="E233" t="s">
        <v>4</v>
      </c>
      <c r="F233" t="s">
        <v>3</v>
      </c>
      <c r="G233" t="s">
        <v>33</v>
      </c>
      <c r="H233">
        <v>69</v>
      </c>
      <c r="I233">
        <v>5.92</v>
      </c>
      <c r="J233">
        <v>3.15</v>
      </c>
      <c r="K233" t="s">
        <v>15</v>
      </c>
      <c r="L233">
        <v>94</v>
      </c>
      <c r="M233">
        <v>170</v>
      </c>
      <c r="N233">
        <v>68</v>
      </c>
      <c r="O233">
        <v>45</v>
      </c>
      <c r="P233" t="s">
        <v>46</v>
      </c>
    </row>
    <row r="234" spans="1:16" x14ac:dyDescent="0.25">
      <c r="A234">
        <v>237</v>
      </c>
      <c r="B234" s="2">
        <v>43885.550694444442</v>
      </c>
      <c r="C234" s="2">
        <v>43886.329861111109</v>
      </c>
      <c r="D234">
        <v>3</v>
      </c>
      <c r="E234" t="s">
        <v>4</v>
      </c>
      <c r="F234" t="s">
        <v>3</v>
      </c>
      <c r="G234" t="s">
        <v>29</v>
      </c>
      <c r="H234">
        <v>58</v>
      </c>
      <c r="I234">
        <v>1.51</v>
      </c>
      <c r="J234">
        <v>0.67</v>
      </c>
      <c r="K234" t="s">
        <v>15</v>
      </c>
      <c r="L234">
        <v>65</v>
      </c>
      <c r="M234">
        <v>155</v>
      </c>
      <c r="N234">
        <v>58</v>
      </c>
      <c r="O234">
        <v>46</v>
      </c>
      <c r="P234" t="s">
        <v>46</v>
      </c>
    </row>
    <row r="235" spans="1:16" x14ac:dyDescent="0.25">
      <c r="A235">
        <v>238</v>
      </c>
      <c r="B235" s="2">
        <v>43885.470138888886</v>
      </c>
      <c r="C235" s="2">
        <v>43886.343055555553</v>
      </c>
      <c r="D235">
        <v>5</v>
      </c>
      <c r="E235" t="s">
        <v>6</v>
      </c>
      <c r="F235" t="s">
        <v>10</v>
      </c>
      <c r="G235" t="s">
        <v>26</v>
      </c>
      <c r="H235">
        <v>70</v>
      </c>
      <c r="I235">
        <v>11.52</v>
      </c>
      <c r="J235">
        <v>8.9600000000000009</v>
      </c>
      <c r="K235" t="s">
        <v>15</v>
      </c>
      <c r="L235">
        <v>66</v>
      </c>
      <c r="M235">
        <v>159</v>
      </c>
      <c r="N235">
        <v>73</v>
      </c>
      <c r="O235">
        <v>65</v>
      </c>
      <c r="P235" t="s">
        <v>44</v>
      </c>
    </row>
    <row r="236" spans="1:16" x14ac:dyDescent="0.25">
      <c r="A236">
        <v>239</v>
      </c>
      <c r="B236" s="2">
        <v>43885.444444444445</v>
      </c>
      <c r="C236" s="2">
        <v>43886.352083333331</v>
      </c>
      <c r="D236">
        <v>6</v>
      </c>
      <c r="E236" t="s">
        <v>4</v>
      </c>
      <c r="F236" t="s">
        <v>3</v>
      </c>
      <c r="G236" t="s">
        <v>24</v>
      </c>
      <c r="H236">
        <v>73</v>
      </c>
      <c r="I236">
        <v>3.74</v>
      </c>
      <c r="J236">
        <v>1.02</v>
      </c>
      <c r="K236" t="s">
        <v>15</v>
      </c>
      <c r="L236">
        <v>86</v>
      </c>
      <c r="M236">
        <v>183</v>
      </c>
      <c r="N236">
        <v>95</v>
      </c>
      <c r="O236">
        <v>28</v>
      </c>
      <c r="P236" t="s">
        <v>45</v>
      </c>
    </row>
    <row r="237" spans="1:16" x14ac:dyDescent="0.25">
      <c r="A237">
        <v>240</v>
      </c>
      <c r="B237" s="2">
        <v>43885.568749999999</v>
      </c>
      <c r="C237" s="2">
        <v>43886.353472222225</v>
      </c>
      <c r="D237">
        <v>2</v>
      </c>
      <c r="E237" t="s">
        <v>4</v>
      </c>
      <c r="F237" t="s">
        <v>10</v>
      </c>
      <c r="G237" t="s">
        <v>21</v>
      </c>
      <c r="H237">
        <v>79</v>
      </c>
      <c r="I237">
        <v>3.26</v>
      </c>
      <c r="J237">
        <v>1.1599999999999999</v>
      </c>
      <c r="K237" t="s">
        <v>15</v>
      </c>
      <c r="L237">
        <v>65</v>
      </c>
      <c r="M237">
        <v>181</v>
      </c>
      <c r="N237">
        <v>76</v>
      </c>
      <c r="O237">
        <v>49</v>
      </c>
      <c r="P237" t="s">
        <v>46</v>
      </c>
    </row>
    <row r="238" spans="1:16" x14ac:dyDescent="0.25">
      <c r="A238">
        <v>242</v>
      </c>
      <c r="B238" s="2">
        <v>43886.309027777781</v>
      </c>
      <c r="C238" s="2">
        <v>43886.593055555553</v>
      </c>
      <c r="D238">
        <v>5</v>
      </c>
      <c r="E238" t="s">
        <v>4</v>
      </c>
      <c r="F238" t="s">
        <v>10</v>
      </c>
      <c r="G238" t="s">
        <v>26</v>
      </c>
      <c r="H238">
        <v>75</v>
      </c>
      <c r="I238">
        <v>3.47</v>
      </c>
      <c r="J238">
        <v>1.43</v>
      </c>
      <c r="K238" t="s">
        <v>15</v>
      </c>
      <c r="L238">
        <v>101</v>
      </c>
      <c r="M238">
        <v>177</v>
      </c>
      <c r="N238">
        <v>103</v>
      </c>
      <c r="O238">
        <v>60</v>
      </c>
      <c r="P238" t="s">
        <v>44</v>
      </c>
    </row>
    <row r="239" spans="1:16" x14ac:dyDescent="0.25">
      <c r="A239">
        <v>243</v>
      </c>
      <c r="B239" s="2">
        <v>43886.457638888889</v>
      </c>
      <c r="C239" s="2">
        <v>43887.34652777778</v>
      </c>
      <c r="D239">
        <v>6</v>
      </c>
      <c r="E239" t="s">
        <v>6</v>
      </c>
      <c r="F239" t="s">
        <v>10</v>
      </c>
      <c r="G239" t="s">
        <v>24</v>
      </c>
      <c r="H239">
        <v>63</v>
      </c>
      <c r="I239">
        <v>1.1499999999999999</v>
      </c>
      <c r="J239">
        <v>1.25</v>
      </c>
      <c r="K239" t="s">
        <v>15</v>
      </c>
      <c r="L239">
        <v>76</v>
      </c>
      <c r="M239">
        <v>167</v>
      </c>
      <c r="N239">
        <v>76</v>
      </c>
      <c r="O239">
        <v>42</v>
      </c>
      <c r="P239" t="s">
        <v>46</v>
      </c>
    </row>
    <row r="240" spans="1:16" x14ac:dyDescent="0.25">
      <c r="A240">
        <v>244</v>
      </c>
      <c r="B240" s="2">
        <v>43886.57916666667</v>
      </c>
      <c r="C240" s="2">
        <v>43887.35833333333</v>
      </c>
      <c r="D240">
        <v>2</v>
      </c>
      <c r="E240" t="s">
        <v>4</v>
      </c>
      <c r="F240" t="s">
        <v>10</v>
      </c>
      <c r="G240" t="s">
        <v>34</v>
      </c>
      <c r="H240">
        <v>67</v>
      </c>
      <c r="I240">
        <v>3.34</v>
      </c>
      <c r="J240">
        <v>2.2200000000000002</v>
      </c>
      <c r="K240" t="s">
        <v>15</v>
      </c>
      <c r="L240">
        <v>62</v>
      </c>
      <c r="M240">
        <v>160</v>
      </c>
      <c r="N240">
        <v>87</v>
      </c>
      <c r="O240">
        <v>35</v>
      </c>
      <c r="P240" t="s">
        <v>46</v>
      </c>
    </row>
    <row r="241" spans="1:16" x14ac:dyDescent="0.25">
      <c r="A241">
        <v>245</v>
      </c>
      <c r="B241" s="2">
        <v>43886.63958333333</v>
      </c>
      <c r="C241" s="2">
        <v>43887.400694444441</v>
      </c>
      <c r="D241">
        <v>3</v>
      </c>
      <c r="E241" t="s">
        <v>4</v>
      </c>
      <c r="F241" t="s">
        <v>11</v>
      </c>
      <c r="G241" t="s">
        <v>30</v>
      </c>
      <c r="H241">
        <v>67</v>
      </c>
      <c r="I241">
        <v>4.09</v>
      </c>
      <c r="J241">
        <v>1.41</v>
      </c>
      <c r="K241" t="s">
        <v>15</v>
      </c>
      <c r="L241">
        <v>77</v>
      </c>
      <c r="M241">
        <v>170</v>
      </c>
      <c r="N241">
        <v>91</v>
      </c>
      <c r="O241">
        <v>71</v>
      </c>
      <c r="P241" t="s">
        <v>44</v>
      </c>
    </row>
    <row r="242" spans="1:16" x14ac:dyDescent="0.25">
      <c r="A242">
        <v>246</v>
      </c>
      <c r="B242" s="2">
        <v>43886.443749999999</v>
      </c>
      <c r="C242" s="2">
        <v>43887.504166666666</v>
      </c>
      <c r="D242">
        <v>5</v>
      </c>
      <c r="E242" t="s">
        <v>4</v>
      </c>
      <c r="F242" t="s">
        <v>3</v>
      </c>
      <c r="G242" t="s">
        <v>35</v>
      </c>
      <c r="H242">
        <v>61</v>
      </c>
      <c r="I242">
        <v>1.39</v>
      </c>
      <c r="J242">
        <v>0.96</v>
      </c>
      <c r="K242" t="s">
        <v>15</v>
      </c>
      <c r="L242">
        <v>76</v>
      </c>
      <c r="M242">
        <v>173</v>
      </c>
      <c r="N242">
        <v>92</v>
      </c>
      <c r="O242">
        <v>35</v>
      </c>
      <c r="P242" t="s">
        <v>46</v>
      </c>
    </row>
    <row r="243" spans="1:16" x14ac:dyDescent="0.25">
      <c r="A243">
        <v>247</v>
      </c>
      <c r="B243" s="2">
        <v>43886.663888888892</v>
      </c>
      <c r="C243" s="2">
        <v>43887.62222222222</v>
      </c>
      <c r="D243">
        <v>3</v>
      </c>
      <c r="E243" t="s">
        <v>4</v>
      </c>
      <c r="F243" t="s">
        <v>10</v>
      </c>
      <c r="G243" t="s">
        <v>30</v>
      </c>
      <c r="H243">
        <v>74</v>
      </c>
      <c r="I243">
        <v>3.54</v>
      </c>
      <c r="J243">
        <v>1.1299999999999999</v>
      </c>
      <c r="K243" t="s">
        <v>15</v>
      </c>
      <c r="L243">
        <v>65</v>
      </c>
      <c r="M243">
        <v>177</v>
      </c>
      <c r="N243">
        <v>85</v>
      </c>
      <c r="O243">
        <v>55</v>
      </c>
      <c r="P243" t="s">
        <v>44</v>
      </c>
    </row>
    <row r="244" spans="1:16" x14ac:dyDescent="0.25">
      <c r="A244">
        <v>248</v>
      </c>
      <c r="B244" s="2">
        <v>43887.583333333336</v>
      </c>
      <c r="C244" s="2">
        <v>43888.333333333336</v>
      </c>
      <c r="D244">
        <v>3</v>
      </c>
      <c r="E244" t="s">
        <v>4</v>
      </c>
      <c r="F244" t="s">
        <v>3</v>
      </c>
      <c r="G244" t="s">
        <v>23</v>
      </c>
      <c r="H244">
        <v>63</v>
      </c>
      <c r="I244">
        <v>10.49</v>
      </c>
      <c r="J244">
        <v>3.27</v>
      </c>
      <c r="K244" t="s">
        <v>15</v>
      </c>
      <c r="L244">
        <v>89</v>
      </c>
      <c r="M244">
        <v>169</v>
      </c>
      <c r="N244">
        <v>66</v>
      </c>
      <c r="O244">
        <v>27</v>
      </c>
      <c r="P244" t="s">
        <v>45</v>
      </c>
    </row>
    <row r="245" spans="1:16" x14ac:dyDescent="0.25">
      <c r="A245">
        <v>249</v>
      </c>
      <c r="B245" s="2">
        <v>43874.5</v>
      </c>
      <c r="C245" s="2">
        <v>43888.465277777781</v>
      </c>
      <c r="D245">
        <v>6</v>
      </c>
      <c r="E245" t="s">
        <v>6</v>
      </c>
      <c r="F245" t="s">
        <v>10</v>
      </c>
      <c r="G245" t="s">
        <v>22</v>
      </c>
      <c r="H245">
        <v>83</v>
      </c>
      <c r="I245">
        <v>46.31</v>
      </c>
      <c r="J245">
        <v>34.32</v>
      </c>
      <c r="K245" t="s">
        <v>15</v>
      </c>
      <c r="L245">
        <v>109</v>
      </c>
      <c r="M245">
        <v>181</v>
      </c>
      <c r="N245">
        <v>85</v>
      </c>
      <c r="O245">
        <v>55</v>
      </c>
      <c r="P245" t="s">
        <v>44</v>
      </c>
    </row>
    <row r="246" spans="1:16" x14ac:dyDescent="0.25">
      <c r="A246">
        <v>250</v>
      </c>
      <c r="B246" s="2">
        <v>43887.458333333336</v>
      </c>
      <c r="C246" s="2">
        <v>43888.542361111111</v>
      </c>
      <c r="D246">
        <v>2</v>
      </c>
      <c r="E246" t="s">
        <v>6</v>
      </c>
      <c r="F246" t="s">
        <v>3</v>
      </c>
      <c r="G246" t="s">
        <v>24</v>
      </c>
      <c r="H246">
        <v>74</v>
      </c>
      <c r="I246">
        <v>9.3699999999999992</v>
      </c>
      <c r="J246">
        <v>3.02</v>
      </c>
      <c r="K246" t="s">
        <v>15</v>
      </c>
      <c r="L246">
        <v>73</v>
      </c>
      <c r="M246">
        <v>164</v>
      </c>
      <c r="N246">
        <v>73</v>
      </c>
      <c r="O246">
        <v>60</v>
      </c>
      <c r="P246" t="s">
        <v>44</v>
      </c>
    </row>
    <row r="247" spans="1:16" x14ac:dyDescent="0.25">
      <c r="A247">
        <v>251</v>
      </c>
      <c r="B247" s="2">
        <v>43885.42083333333</v>
      </c>
      <c r="C247" s="2">
        <v>43888.568749999999</v>
      </c>
      <c r="D247">
        <v>3</v>
      </c>
      <c r="E247" t="s">
        <v>2</v>
      </c>
      <c r="F247" t="s">
        <v>5</v>
      </c>
      <c r="G247" t="s">
        <v>33</v>
      </c>
      <c r="H247">
        <v>80</v>
      </c>
      <c r="I247">
        <v>61.72</v>
      </c>
      <c r="J247">
        <v>53.08</v>
      </c>
      <c r="K247" t="s">
        <v>13</v>
      </c>
      <c r="L247">
        <v>80</v>
      </c>
      <c r="M247">
        <v>171</v>
      </c>
      <c r="N247">
        <v>67</v>
      </c>
      <c r="O247">
        <v>42</v>
      </c>
      <c r="P247" t="s">
        <v>46</v>
      </c>
    </row>
    <row r="248" spans="1:16" x14ac:dyDescent="0.25">
      <c r="A248">
        <v>252</v>
      </c>
      <c r="B248" s="2">
        <v>43888.455555555556</v>
      </c>
      <c r="C248" s="2">
        <v>43889.509722222225</v>
      </c>
      <c r="D248">
        <v>2</v>
      </c>
      <c r="E248" t="s">
        <v>6</v>
      </c>
      <c r="F248" t="s">
        <v>11</v>
      </c>
      <c r="G248" t="s">
        <v>21</v>
      </c>
      <c r="H248">
        <v>62</v>
      </c>
      <c r="I248">
        <v>4.67</v>
      </c>
      <c r="J248">
        <v>2.2000000000000002</v>
      </c>
      <c r="K248" t="s">
        <v>15</v>
      </c>
      <c r="L248">
        <v>85</v>
      </c>
      <c r="M248">
        <v>173</v>
      </c>
      <c r="N248">
        <v>66</v>
      </c>
      <c r="O248">
        <v>47</v>
      </c>
      <c r="P248" t="s">
        <v>46</v>
      </c>
    </row>
    <row r="249" spans="1:16" x14ac:dyDescent="0.25">
      <c r="A249">
        <v>253</v>
      </c>
      <c r="B249" s="2">
        <v>43889.583333333336</v>
      </c>
      <c r="C249" s="2">
        <v>43890.333333333336</v>
      </c>
      <c r="D249">
        <v>1</v>
      </c>
      <c r="E249" t="s">
        <v>2</v>
      </c>
      <c r="F249" t="s">
        <v>3</v>
      </c>
      <c r="G249" t="s">
        <v>33</v>
      </c>
      <c r="H249">
        <v>46</v>
      </c>
      <c r="I249">
        <v>8.57</v>
      </c>
      <c r="J249">
        <v>1.86</v>
      </c>
      <c r="K249" t="s">
        <v>15</v>
      </c>
      <c r="L249">
        <v>71</v>
      </c>
      <c r="M249">
        <v>181</v>
      </c>
      <c r="N249">
        <v>94</v>
      </c>
      <c r="O249">
        <v>66</v>
      </c>
      <c r="P249" t="s">
        <v>44</v>
      </c>
    </row>
    <row r="250" spans="1:16" x14ac:dyDescent="0.25">
      <c r="A250">
        <v>254</v>
      </c>
      <c r="B250" s="2">
        <v>43889.451388888891</v>
      </c>
      <c r="C250" s="2">
        <v>43890.340277777781</v>
      </c>
      <c r="D250">
        <v>2</v>
      </c>
      <c r="E250" t="s">
        <v>4</v>
      </c>
      <c r="F250" t="s">
        <v>10</v>
      </c>
      <c r="G250" t="s">
        <v>25</v>
      </c>
      <c r="H250">
        <v>70</v>
      </c>
      <c r="I250">
        <v>4.4000000000000004</v>
      </c>
      <c r="J250">
        <v>1.22</v>
      </c>
      <c r="K250" t="s">
        <v>15</v>
      </c>
      <c r="L250">
        <v>65</v>
      </c>
      <c r="M250">
        <v>177</v>
      </c>
      <c r="N250">
        <v>88</v>
      </c>
      <c r="O250">
        <v>20</v>
      </c>
      <c r="P250" t="s">
        <v>47</v>
      </c>
    </row>
    <row r="251" spans="1:16" x14ac:dyDescent="0.25">
      <c r="A251">
        <v>255</v>
      </c>
      <c r="B251" s="2">
        <v>43889.599305555559</v>
      </c>
      <c r="C251" s="2">
        <v>43890.374305555553</v>
      </c>
      <c r="D251">
        <v>5</v>
      </c>
      <c r="E251" t="s">
        <v>4</v>
      </c>
      <c r="F251" t="s">
        <v>3</v>
      </c>
      <c r="G251" t="s">
        <v>35</v>
      </c>
      <c r="H251">
        <v>61</v>
      </c>
      <c r="I251">
        <v>1.72</v>
      </c>
      <c r="J251">
        <v>0.7</v>
      </c>
      <c r="K251" t="s">
        <v>15</v>
      </c>
      <c r="L251">
        <v>108</v>
      </c>
      <c r="M251">
        <v>188</v>
      </c>
      <c r="N251">
        <v>80</v>
      </c>
      <c r="O251">
        <v>55</v>
      </c>
      <c r="P251" t="s">
        <v>44</v>
      </c>
    </row>
    <row r="252" spans="1:16" x14ac:dyDescent="0.25">
      <c r="A252">
        <v>256</v>
      </c>
      <c r="B252" s="2">
        <v>43857.638888888891</v>
      </c>
      <c r="C252" s="2">
        <v>43892.329861111109</v>
      </c>
      <c r="D252">
        <v>1</v>
      </c>
      <c r="E252" t="s">
        <v>6</v>
      </c>
      <c r="F252" t="s">
        <v>11</v>
      </c>
      <c r="G252" t="s">
        <v>30</v>
      </c>
      <c r="H252">
        <v>67</v>
      </c>
      <c r="I252">
        <v>11.84</v>
      </c>
      <c r="J252">
        <v>7.66</v>
      </c>
      <c r="K252" t="s">
        <v>15</v>
      </c>
      <c r="L252">
        <v>87</v>
      </c>
      <c r="M252">
        <v>194</v>
      </c>
      <c r="N252">
        <v>103</v>
      </c>
      <c r="O252">
        <v>55</v>
      </c>
      <c r="P252" t="s">
        <v>44</v>
      </c>
    </row>
    <row r="253" spans="1:16" x14ac:dyDescent="0.25">
      <c r="A253">
        <v>257</v>
      </c>
      <c r="B253" s="2">
        <v>43891.583333333336</v>
      </c>
      <c r="C253" s="2">
        <v>43892.336805555555</v>
      </c>
      <c r="D253">
        <v>5</v>
      </c>
      <c r="E253" t="s">
        <v>4</v>
      </c>
      <c r="F253" t="s">
        <v>3</v>
      </c>
      <c r="G253" t="s">
        <v>33</v>
      </c>
      <c r="H253">
        <v>79</v>
      </c>
      <c r="I253">
        <v>8.1</v>
      </c>
      <c r="J253">
        <v>1.86</v>
      </c>
      <c r="K253" t="s">
        <v>15</v>
      </c>
      <c r="L253">
        <v>123</v>
      </c>
      <c r="M253">
        <v>164</v>
      </c>
      <c r="N253">
        <v>67</v>
      </c>
      <c r="O253">
        <v>53</v>
      </c>
      <c r="P253" t="s">
        <v>44</v>
      </c>
    </row>
    <row r="254" spans="1:16" x14ac:dyDescent="0.25">
      <c r="A254">
        <v>258</v>
      </c>
      <c r="B254" s="2">
        <v>43891.541666666664</v>
      </c>
      <c r="C254" s="2">
        <v>43892.340277777781</v>
      </c>
      <c r="D254">
        <v>3</v>
      </c>
      <c r="E254" t="s">
        <v>4</v>
      </c>
      <c r="F254" t="s">
        <v>10</v>
      </c>
      <c r="G254" t="s">
        <v>26</v>
      </c>
      <c r="H254">
        <v>70</v>
      </c>
      <c r="I254">
        <v>8.7100000000000009</v>
      </c>
      <c r="J254">
        <v>3.1</v>
      </c>
      <c r="K254" t="s">
        <v>15</v>
      </c>
      <c r="L254">
        <v>70</v>
      </c>
      <c r="M254">
        <v>184</v>
      </c>
      <c r="N254">
        <v>96</v>
      </c>
      <c r="O254">
        <v>50</v>
      </c>
      <c r="P254" t="s">
        <v>46</v>
      </c>
    </row>
    <row r="255" spans="1:16" x14ac:dyDescent="0.25">
      <c r="A255">
        <v>259</v>
      </c>
      <c r="B255" s="2">
        <v>43891.583333333336</v>
      </c>
      <c r="C255" s="2">
        <v>43892.34375</v>
      </c>
      <c r="D255">
        <v>6</v>
      </c>
      <c r="E255" t="s">
        <v>4</v>
      </c>
      <c r="F255" t="s">
        <v>1</v>
      </c>
      <c r="G255" t="s">
        <v>23</v>
      </c>
      <c r="H255">
        <v>64</v>
      </c>
      <c r="I255">
        <v>20.51</v>
      </c>
      <c r="J255">
        <v>5.31</v>
      </c>
      <c r="K255" t="s">
        <v>15</v>
      </c>
      <c r="L255">
        <v>71</v>
      </c>
      <c r="M255">
        <v>178</v>
      </c>
      <c r="N255">
        <v>126</v>
      </c>
      <c r="O255">
        <v>65</v>
      </c>
      <c r="P255" t="s">
        <v>44</v>
      </c>
    </row>
    <row r="256" spans="1:16" x14ac:dyDescent="0.25">
      <c r="A256">
        <v>260</v>
      </c>
      <c r="B256" s="2">
        <v>43891.583333333336</v>
      </c>
      <c r="C256" s="2">
        <v>43892.34652777778</v>
      </c>
      <c r="D256">
        <v>2</v>
      </c>
      <c r="E256" t="s">
        <v>4</v>
      </c>
      <c r="F256" t="s">
        <v>1</v>
      </c>
      <c r="G256" t="s">
        <v>31</v>
      </c>
      <c r="H256">
        <v>61</v>
      </c>
      <c r="I256">
        <v>8.77</v>
      </c>
      <c r="J256">
        <v>2.62</v>
      </c>
      <c r="K256" t="s">
        <v>15</v>
      </c>
      <c r="L256">
        <v>105</v>
      </c>
      <c r="M256">
        <v>182</v>
      </c>
      <c r="N256">
        <v>103</v>
      </c>
      <c r="O256">
        <v>60</v>
      </c>
      <c r="P256" t="s">
        <v>44</v>
      </c>
    </row>
    <row r="257" spans="1:16" x14ac:dyDescent="0.25">
      <c r="A257">
        <v>261</v>
      </c>
      <c r="B257" s="2">
        <v>43892.305555555555</v>
      </c>
      <c r="C257" s="2">
        <v>43892.541666666664</v>
      </c>
      <c r="D257">
        <v>2</v>
      </c>
      <c r="E257" t="s">
        <v>4</v>
      </c>
      <c r="F257" t="s">
        <v>3</v>
      </c>
      <c r="G257" t="s">
        <v>31</v>
      </c>
      <c r="H257">
        <v>82</v>
      </c>
      <c r="I257">
        <v>13.89</v>
      </c>
      <c r="J257">
        <v>2.52</v>
      </c>
      <c r="K257" t="s">
        <v>15</v>
      </c>
      <c r="L257">
        <v>109</v>
      </c>
      <c r="M257">
        <v>170</v>
      </c>
      <c r="N257">
        <v>84</v>
      </c>
      <c r="O257">
        <v>50</v>
      </c>
      <c r="P257" t="s">
        <v>46</v>
      </c>
    </row>
    <row r="258" spans="1:16" x14ac:dyDescent="0.25">
      <c r="A258">
        <v>262</v>
      </c>
      <c r="B258" s="2">
        <v>43880.461805555555</v>
      </c>
      <c r="C258" s="2">
        <v>43892.559027777781</v>
      </c>
      <c r="D258">
        <v>3</v>
      </c>
      <c r="E258" t="s">
        <v>6</v>
      </c>
      <c r="F258" t="s">
        <v>10</v>
      </c>
      <c r="G258" t="s">
        <v>26</v>
      </c>
      <c r="H258">
        <v>82</v>
      </c>
      <c r="I258">
        <v>5.89</v>
      </c>
      <c r="J258">
        <v>3.14</v>
      </c>
      <c r="K258" t="s">
        <v>15</v>
      </c>
      <c r="L258">
        <v>61</v>
      </c>
      <c r="M258">
        <v>163</v>
      </c>
      <c r="N258">
        <v>62</v>
      </c>
      <c r="O258">
        <v>65</v>
      </c>
      <c r="P258" t="s">
        <v>44</v>
      </c>
    </row>
    <row r="259" spans="1:16" x14ac:dyDescent="0.25">
      <c r="A259">
        <v>263</v>
      </c>
      <c r="B259" s="2">
        <v>43892.313888888886</v>
      </c>
      <c r="C259" s="2">
        <v>43892.613194444442</v>
      </c>
      <c r="D259">
        <v>1</v>
      </c>
      <c r="E259" t="s">
        <v>4</v>
      </c>
      <c r="F259" t="s">
        <v>10</v>
      </c>
      <c r="G259" t="s">
        <v>30</v>
      </c>
      <c r="H259">
        <v>51</v>
      </c>
      <c r="I259">
        <v>1.22</v>
      </c>
      <c r="J259">
        <v>0.69</v>
      </c>
      <c r="K259" t="s">
        <v>15</v>
      </c>
      <c r="L259">
        <v>156</v>
      </c>
      <c r="M259">
        <v>174</v>
      </c>
      <c r="N259">
        <v>80</v>
      </c>
      <c r="O259">
        <v>62</v>
      </c>
      <c r="P259" t="s">
        <v>44</v>
      </c>
    </row>
    <row r="260" spans="1:16" x14ac:dyDescent="0.25">
      <c r="A260">
        <v>264</v>
      </c>
      <c r="B260" s="2">
        <v>43892.576388888891</v>
      </c>
      <c r="C260" s="2">
        <v>43893.329861111109</v>
      </c>
      <c r="D260">
        <v>5</v>
      </c>
      <c r="E260" t="s">
        <v>4</v>
      </c>
      <c r="F260" t="s">
        <v>3</v>
      </c>
      <c r="G260" t="s">
        <v>31</v>
      </c>
      <c r="H260">
        <v>77</v>
      </c>
      <c r="I260">
        <v>4.83</v>
      </c>
      <c r="J260">
        <v>2.99</v>
      </c>
      <c r="K260" t="s">
        <v>15</v>
      </c>
      <c r="L260">
        <v>91</v>
      </c>
      <c r="M260">
        <v>183</v>
      </c>
      <c r="N260">
        <v>80</v>
      </c>
      <c r="O260">
        <v>29</v>
      </c>
      <c r="P260" t="s">
        <v>45</v>
      </c>
    </row>
    <row r="261" spans="1:16" x14ac:dyDescent="0.25">
      <c r="A261">
        <v>265</v>
      </c>
      <c r="B261" s="2">
        <v>43887.458333333336</v>
      </c>
      <c r="C261" s="2">
        <v>43893.333333333336</v>
      </c>
      <c r="D261">
        <v>6</v>
      </c>
      <c r="E261" t="s">
        <v>6</v>
      </c>
      <c r="F261" t="s">
        <v>10</v>
      </c>
      <c r="G261" t="s">
        <v>21</v>
      </c>
      <c r="H261">
        <v>57</v>
      </c>
      <c r="I261">
        <v>3.95</v>
      </c>
      <c r="J261">
        <v>1.22</v>
      </c>
      <c r="K261" t="s">
        <v>15</v>
      </c>
      <c r="L261">
        <v>103</v>
      </c>
      <c r="M261">
        <v>174</v>
      </c>
      <c r="N261">
        <v>80</v>
      </c>
      <c r="O261">
        <v>65</v>
      </c>
      <c r="P261" t="s">
        <v>44</v>
      </c>
    </row>
    <row r="262" spans="1:16" x14ac:dyDescent="0.25">
      <c r="A262">
        <v>266</v>
      </c>
      <c r="B262" s="2">
        <v>43892.586111111108</v>
      </c>
      <c r="C262" s="2">
        <v>43893.336805555555</v>
      </c>
      <c r="D262">
        <v>3</v>
      </c>
      <c r="E262" t="s">
        <v>4</v>
      </c>
      <c r="F262" t="s">
        <v>11</v>
      </c>
      <c r="G262" t="s">
        <v>23</v>
      </c>
      <c r="H262">
        <v>82</v>
      </c>
      <c r="I262">
        <v>12</v>
      </c>
      <c r="J262">
        <v>5.67</v>
      </c>
      <c r="K262" t="s">
        <v>15</v>
      </c>
      <c r="L262">
        <v>61</v>
      </c>
      <c r="M262">
        <v>172</v>
      </c>
      <c r="N262">
        <v>78</v>
      </c>
      <c r="O262">
        <v>35</v>
      </c>
      <c r="P262" t="s">
        <v>46</v>
      </c>
    </row>
    <row r="263" spans="1:16" x14ac:dyDescent="0.25">
      <c r="A263">
        <v>267</v>
      </c>
      <c r="B263" s="2">
        <v>43892.576388888891</v>
      </c>
      <c r="C263" s="2">
        <v>43893.347222222219</v>
      </c>
      <c r="D263">
        <v>2</v>
      </c>
      <c r="E263" t="s">
        <v>4</v>
      </c>
      <c r="F263" t="s">
        <v>3</v>
      </c>
      <c r="G263" t="s">
        <v>28</v>
      </c>
      <c r="H263">
        <v>72</v>
      </c>
      <c r="I263">
        <v>4.8099999999999996</v>
      </c>
      <c r="J263">
        <v>2.27</v>
      </c>
      <c r="K263" t="s">
        <v>15</v>
      </c>
      <c r="L263">
        <v>83</v>
      </c>
      <c r="M263">
        <v>172</v>
      </c>
      <c r="N263">
        <v>66</v>
      </c>
      <c r="O263">
        <v>55</v>
      </c>
      <c r="P263" t="s">
        <v>44</v>
      </c>
    </row>
    <row r="264" spans="1:16" x14ac:dyDescent="0.25">
      <c r="A264">
        <v>268</v>
      </c>
      <c r="B264" s="2">
        <v>43892.708333333336</v>
      </c>
      <c r="C264" s="2">
        <v>43893.5</v>
      </c>
      <c r="D264">
        <v>5</v>
      </c>
      <c r="E264" t="s">
        <v>6</v>
      </c>
      <c r="F264" t="s">
        <v>10</v>
      </c>
      <c r="G264" t="s">
        <v>31</v>
      </c>
      <c r="H264">
        <v>82</v>
      </c>
      <c r="I264">
        <v>9.75</v>
      </c>
      <c r="J264">
        <v>6.17</v>
      </c>
      <c r="K264" t="s">
        <v>15</v>
      </c>
      <c r="L264">
        <v>95</v>
      </c>
      <c r="M264">
        <v>174</v>
      </c>
      <c r="N264">
        <v>80</v>
      </c>
      <c r="O264">
        <v>44</v>
      </c>
      <c r="P264" t="s">
        <v>46</v>
      </c>
    </row>
    <row r="265" spans="1:16" x14ac:dyDescent="0.25">
      <c r="A265">
        <v>269</v>
      </c>
      <c r="B265" s="2">
        <v>43893.325694444444</v>
      </c>
      <c r="C265" s="2">
        <v>43893.590277777781</v>
      </c>
      <c r="D265">
        <v>3</v>
      </c>
      <c r="E265" t="s">
        <v>4</v>
      </c>
      <c r="F265" t="s">
        <v>10</v>
      </c>
      <c r="G265" t="s">
        <v>23</v>
      </c>
      <c r="H265">
        <v>57</v>
      </c>
      <c r="I265">
        <v>1.33</v>
      </c>
      <c r="J265">
        <v>0.69</v>
      </c>
      <c r="K265" t="s">
        <v>15</v>
      </c>
      <c r="L265">
        <v>79</v>
      </c>
      <c r="M265">
        <v>163</v>
      </c>
      <c r="N265">
        <v>82</v>
      </c>
      <c r="O265">
        <v>40</v>
      </c>
      <c r="P265" t="s">
        <v>46</v>
      </c>
    </row>
    <row r="266" spans="1:16" x14ac:dyDescent="0.25">
      <c r="A266">
        <v>270</v>
      </c>
      <c r="B266" s="2">
        <v>43893.348611111112</v>
      </c>
      <c r="C266" s="2">
        <v>43893.611805555556</v>
      </c>
      <c r="D266">
        <v>2</v>
      </c>
      <c r="E266" t="s">
        <v>4</v>
      </c>
      <c r="F266" t="s">
        <v>3</v>
      </c>
      <c r="G266" t="s">
        <v>28</v>
      </c>
      <c r="H266">
        <v>69</v>
      </c>
      <c r="I266">
        <v>3.98</v>
      </c>
      <c r="J266">
        <v>2.3199999999999998</v>
      </c>
      <c r="K266" t="s">
        <v>15</v>
      </c>
      <c r="L266">
        <v>94</v>
      </c>
      <c r="M266">
        <v>172</v>
      </c>
      <c r="N266">
        <v>80</v>
      </c>
      <c r="O266">
        <v>25</v>
      </c>
      <c r="P266" t="s">
        <v>45</v>
      </c>
    </row>
    <row r="267" spans="1:16" x14ac:dyDescent="0.25">
      <c r="A267">
        <v>271</v>
      </c>
      <c r="B267" s="2">
        <v>43893.335416666669</v>
      </c>
      <c r="C267" s="2">
        <v>43893.625694444447</v>
      </c>
      <c r="D267">
        <v>6</v>
      </c>
      <c r="E267" t="s">
        <v>4</v>
      </c>
      <c r="F267" t="s">
        <v>10</v>
      </c>
      <c r="G267" t="s">
        <v>25</v>
      </c>
      <c r="H267">
        <v>58</v>
      </c>
      <c r="I267">
        <v>0.88</v>
      </c>
      <c r="J267">
        <v>0.75</v>
      </c>
      <c r="K267" t="s">
        <v>15</v>
      </c>
      <c r="L267">
        <v>150</v>
      </c>
      <c r="M267">
        <v>175</v>
      </c>
      <c r="N267">
        <v>88</v>
      </c>
      <c r="O267">
        <v>55</v>
      </c>
      <c r="P267" t="s">
        <v>44</v>
      </c>
    </row>
    <row r="268" spans="1:16" x14ac:dyDescent="0.25">
      <c r="A268">
        <v>272</v>
      </c>
      <c r="B268" s="2">
        <v>43891.458333333336</v>
      </c>
      <c r="C268" s="2">
        <v>43894.32916666667</v>
      </c>
      <c r="D268">
        <v>6</v>
      </c>
      <c r="E268" t="s">
        <v>6</v>
      </c>
      <c r="F268" t="s">
        <v>10</v>
      </c>
      <c r="G268" t="s">
        <v>24</v>
      </c>
      <c r="H268">
        <v>70</v>
      </c>
      <c r="I268">
        <v>3.09</v>
      </c>
      <c r="J268">
        <v>1.43</v>
      </c>
      <c r="K268" t="s">
        <v>15</v>
      </c>
      <c r="L268">
        <v>106</v>
      </c>
      <c r="M268">
        <v>143</v>
      </c>
      <c r="N268">
        <v>50</v>
      </c>
      <c r="O268">
        <v>54</v>
      </c>
      <c r="P268" t="s">
        <v>44</v>
      </c>
    </row>
    <row r="269" spans="1:16" x14ac:dyDescent="0.25">
      <c r="A269">
        <v>273</v>
      </c>
      <c r="B269" s="2">
        <v>43893.56527777778</v>
      </c>
      <c r="C269" s="2">
        <v>43894.333333333336</v>
      </c>
      <c r="D269">
        <v>3</v>
      </c>
      <c r="E269" t="s">
        <v>4</v>
      </c>
      <c r="F269" t="s">
        <v>10</v>
      </c>
      <c r="G269" t="s">
        <v>30</v>
      </c>
      <c r="H269">
        <v>74</v>
      </c>
      <c r="I269">
        <v>2.36</v>
      </c>
      <c r="J269">
        <v>0.83</v>
      </c>
      <c r="K269" t="s">
        <v>15</v>
      </c>
      <c r="L269">
        <v>72</v>
      </c>
      <c r="M269">
        <v>175</v>
      </c>
      <c r="N269">
        <v>70</v>
      </c>
      <c r="O269">
        <v>55</v>
      </c>
      <c r="P269" t="s">
        <v>44</v>
      </c>
    </row>
    <row r="270" spans="1:16" x14ac:dyDescent="0.25">
      <c r="A270">
        <v>274</v>
      </c>
      <c r="B270" s="2">
        <v>43885.427777777775</v>
      </c>
      <c r="C270" s="2">
        <v>43894.34375</v>
      </c>
      <c r="D270">
        <v>5</v>
      </c>
      <c r="E270" t="s">
        <v>6</v>
      </c>
      <c r="F270" t="s">
        <v>3</v>
      </c>
      <c r="G270" t="s">
        <v>35</v>
      </c>
      <c r="H270">
        <v>72</v>
      </c>
      <c r="I270">
        <v>12.83</v>
      </c>
      <c r="J270">
        <v>9.5399999999999991</v>
      </c>
      <c r="K270" t="s">
        <v>15</v>
      </c>
      <c r="L270">
        <v>85</v>
      </c>
      <c r="M270">
        <v>172</v>
      </c>
      <c r="N270">
        <v>75</v>
      </c>
      <c r="O270">
        <v>53</v>
      </c>
      <c r="P270" t="s">
        <v>44</v>
      </c>
    </row>
    <row r="271" spans="1:16" x14ac:dyDescent="0.25">
      <c r="A271">
        <v>275</v>
      </c>
      <c r="B271" s="2">
        <v>43894.275000000001</v>
      </c>
      <c r="C271" s="2">
        <v>43894.345138888886</v>
      </c>
      <c r="D271">
        <v>2</v>
      </c>
      <c r="E271" t="s">
        <v>4</v>
      </c>
      <c r="F271" t="s">
        <v>3</v>
      </c>
      <c r="G271" t="s">
        <v>28</v>
      </c>
      <c r="H271">
        <v>67</v>
      </c>
      <c r="I271">
        <v>5.22</v>
      </c>
      <c r="J271">
        <v>3.58</v>
      </c>
      <c r="K271" t="s">
        <v>15</v>
      </c>
      <c r="L271">
        <v>120</v>
      </c>
      <c r="M271">
        <v>174</v>
      </c>
      <c r="N271">
        <v>109</v>
      </c>
      <c r="O271">
        <v>68</v>
      </c>
      <c r="P271" t="s">
        <v>44</v>
      </c>
    </row>
    <row r="272" spans="1:16" x14ac:dyDescent="0.25">
      <c r="A272">
        <v>276</v>
      </c>
      <c r="B272" s="2">
        <v>43888.458333333336</v>
      </c>
      <c r="C272" s="2">
        <v>43895.329861111109</v>
      </c>
      <c r="D272">
        <v>6</v>
      </c>
      <c r="E272" t="s">
        <v>6</v>
      </c>
      <c r="F272" t="s">
        <v>1</v>
      </c>
      <c r="G272" t="s">
        <v>31</v>
      </c>
      <c r="H272">
        <v>61</v>
      </c>
      <c r="I272">
        <v>5.28</v>
      </c>
      <c r="J272">
        <v>3.08</v>
      </c>
      <c r="K272" t="s">
        <v>15</v>
      </c>
      <c r="L272">
        <v>74</v>
      </c>
      <c r="M272">
        <v>148</v>
      </c>
      <c r="N272">
        <v>99</v>
      </c>
      <c r="O272">
        <v>62</v>
      </c>
      <c r="P272" t="s">
        <v>44</v>
      </c>
    </row>
    <row r="273" spans="1:16" x14ac:dyDescent="0.25">
      <c r="A273">
        <v>277</v>
      </c>
      <c r="B273" s="2">
        <v>43893.434027777781</v>
      </c>
      <c r="C273" s="2">
        <v>43895.338194444441</v>
      </c>
      <c r="D273">
        <v>2</v>
      </c>
      <c r="E273" t="s">
        <v>4</v>
      </c>
      <c r="F273" t="s">
        <v>10</v>
      </c>
      <c r="G273" t="s">
        <v>24</v>
      </c>
      <c r="H273">
        <v>69</v>
      </c>
      <c r="I273">
        <v>2.9</v>
      </c>
      <c r="J273">
        <v>2</v>
      </c>
      <c r="K273" t="s">
        <v>15</v>
      </c>
      <c r="L273">
        <v>65</v>
      </c>
      <c r="M273">
        <v>190</v>
      </c>
      <c r="N273">
        <v>95</v>
      </c>
      <c r="O273">
        <v>45</v>
      </c>
      <c r="P273" t="s">
        <v>46</v>
      </c>
    </row>
    <row r="274" spans="1:16" x14ac:dyDescent="0.25">
      <c r="A274">
        <v>278</v>
      </c>
      <c r="B274" s="2">
        <v>43894.451388888891</v>
      </c>
      <c r="C274" s="2">
        <v>43895.581250000003</v>
      </c>
      <c r="D274">
        <v>2</v>
      </c>
      <c r="E274" t="s">
        <v>6</v>
      </c>
      <c r="F274" t="s">
        <v>10</v>
      </c>
      <c r="G274" t="s">
        <v>24</v>
      </c>
      <c r="H274">
        <v>76</v>
      </c>
      <c r="I274">
        <v>6.22</v>
      </c>
      <c r="J274">
        <v>1.56</v>
      </c>
      <c r="K274" t="s">
        <v>15</v>
      </c>
      <c r="L274">
        <v>82</v>
      </c>
      <c r="M274">
        <v>172</v>
      </c>
      <c r="N274">
        <v>80</v>
      </c>
      <c r="O274">
        <v>45</v>
      </c>
      <c r="P274" t="s">
        <v>46</v>
      </c>
    </row>
    <row r="275" spans="1:16" x14ac:dyDescent="0.25">
      <c r="A275">
        <v>279</v>
      </c>
      <c r="B275" s="2">
        <v>43895.572916666664</v>
      </c>
      <c r="C275" s="2">
        <v>43896.333333333336</v>
      </c>
      <c r="D275">
        <v>5</v>
      </c>
      <c r="E275" t="s">
        <v>4</v>
      </c>
      <c r="F275" t="s">
        <v>11</v>
      </c>
      <c r="G275" t="s">
        <v>22</v>
      </c>
      <c r="H275">
        <v>77</v>
      </c>
      <c r="I275">
        <v>4.83</v>
      </c>
      <c r="J275">
        <v>3.77</v>
      </c>
      <c r="K275" t="s">
        <v>15</v>
      </c>
      <c r="L275">
        <v>62</v>
      </c>
      <c r="M275">
        <v>165</v>
      </c>
      <c r="N275">
        <v>65</v>
      </c>
      <c r="O275">
        <v>52</v>
      </c>
      <c r="P275" t="s">
        <v>44</v>
      </c>
    </row>
    <row r="276" spans="1:16" x14ac:dyDescent="0.25">
      <c r="A276">
        <v>280</v>
      </c>
      <c r="B276" s="2">
        <v>43895.450694444444</v>
      </c>
      <c r="C276" s="2">
        <v>43896.34097222222</v>
      </c>
      <c r="D276">
        <v>3</v>
      </c>
      <c r="E276" t="s">
        <v>4</v>
      </c>
      <c r="F276" t="s">
        <v>1</v>
      </c>
      <c r="G276" t="s">
        <v>23</v>
      </c>
      <c r="H276">
        <v>53</v>
      </c>
      <c r="I276">
        <v>6.35</v>
      </c>
      <c r="J276">
        <v>2.04</v>
      </c>
      <c r="K276" t="s">
        <v>15</v>
      </c>
      <c r="L276">
        <v>76</v>
      </c>
      <c r="M276">
        <v>165</v>
      </c>
      <c r="N276">
        <v>95</v>
      </c>
      <c r="O276">
        <v>12</v>
      </c>
      <c r="P276" t="s">
        <v>47</v>
      </c>
    </row>
    <row r="277" spans="1:16" x14ac:dyDescent="0.25">
      <c r="A277">
        <v>281</v>
      </c>
      <c r="B277" s="2">
        <v>43892.458333333336</v>
      </c>
      <c r="C277" s="2">
        <v>43896.395833333336</v>
      </c>
      <c r="D277">
        <v>6</v>
      </c>
      <c r="E277" t="s">
        <v>6</v>
      </c>
      <c r="F277" t="s">
        <v>11</v>
      </c>
      <c r="G277" t="s">
        <v>31</v>
      </c>
      <c r="H277">
        <v>77</v>
      </c>
      <c r="I277">
        <v>11.75</v>
      </c>
      <c r="J277">
        <v>5.61</v>
      </c>
      <c r="K277" t="s">
        <v>15</v>
      </c>
      <c r="L277">
        <v>65</v>
      </c>
      <c r="M277">
        <v>173</v>
      </c>
      <c r="N277">
        <v>87</v>
      </c>
      <c r="O277">
        <v>36</v>
      </c>
      <c r="P277" t="s">
        <v>46</v>
      </c>
    </row>
    <row r="278" spans="1:16" x14ac:dyDescent="0.25">
      <c r="A278">
        <v>282</v>
      </c>
      <c r="B278" s="2">
        <v>43895.463194444441</v>
      </c>
      <c r="C278" s="2">
        <v>43896.521527777775</v>
      </c>
      <c r="D278">
        <v>3</v>
      </c>
      <c r="E278" t="s">
        <v>4</v>
      </c>
      <c r="F278" t="s">
        <v>10</v>
      </c>
      <c r="G278" t="s">
        <v>23</v>
      </c>
      <c r="H278">
        <v>66</v>
      </c>
      <c r="I278">
        <v>1.4</v>
      </c>
      <c r="J278">
        <v>0.66</v>
      </c>
      <c r="K278" t="s">
        <v>15</v>
      </c>
      <c r="L278">
        <v>61</v>
      </c>
      <c r="M278">
        <v>169</v>
      </c>
      <c r="N278">
        <v>125</v>
      </c>
      <c r="O278">
        <v>60</v>
      </c>
      <c r="P278" t="s">
        <v>44</v>
      </c>
    </row>
    <row r="279" spans="1:16" x14ac:dyDescent="0.25">
      <c r="A279">
        <v>283</v>
      </c>
      <c r="B279" s="2">
        <v>43896.337500000001</v>
      </c>
      <c r="C279" s="2">
        <v>43896.541666666664</v>
      </c>
      <c r="D279">
        <v>5</v>
      </c>
      <c r="E279" t="s">
        <v>4</v>
      </c>
      <c r="F279" t="s">
        <v>11</v>
      </c>
      <c r="G279" t="s">
        <v>22</v>
      </c>
      <c r="H279">
        <v>59</v>
      </c>
      <c r="I279">
        <v>2.27</v>
      </c>
      <c r="J279">
        <v>1.98</v>
      </c>
      <c r="K279" t="s">
        <v>15</v>
      </c>
      <c r="L279">
        <v>83</v>
      </c>
      <c r="M279">
        <v>165</v>
      </c>
      <c r="N279">
        <v>78</v>
      </c>
      <c r="O279">
        <v>50</v>
      </c>
      <c r="P279" t="s">
        <v>46</v>
      </c>
    </row>
    <row r="280" spans="1:16" x14ac:dyDescent="0.25">
      <c r="A280">
        <v>284</v>
      </c>
      <c r="B280" s="2">
        <v>43896.622916666667</v>
      </c>
      <c r="C280" s="2">
        <v>43897.333333333336</v>
      </c>
      <c r="D280">
        <v>2</v>
      </c>
      <c r="E280" t="s">
        <v>4</v>
      </c>
      <c r="F280" t="s">
        <v>3</v>
      </c>
      <c r="G280" t="s">
        <v>30</v>
      </c>
      <c r="H280">
        <v>52</v>
      </c>
      <c r="I280">
        <v>4.38</v>
      </c>
      <c r="J280">
        <v>1.67</v>
      </c>
      <c r="K280" t="s">
        <v>15</v>
      </c>
      <c r="L280">
        <v>105</v>
      </c>
      <c r="M280">
        <v>161</v>
      </c>
      <c r="N280">
        <v>46</v>
      </c>
      <c r="O280">
        <v>60</v>
      </c>
      <c r="P280" t="s">
        <v>44</v>
      </c>
    </row>
    <row r="281" spans="1:16" x14ac:dyDescent="0.25">
      <c r="A281">
        <v>285</v>
      </c>
      <c r="B281" s="2">
        <v>43896.606249999997</v>
      </c>
      <c r="C281" s="2">
        <v>43897.336805555555</v>
      </c>
      <c r="D281">
        <v>5</v>
      </c>
      <c r="E281" t="s">
        <v>4</v>
      </c>
      <c r="F281" t="s">
        <v>1</v>
      </c>
      <c r="G281" t="s">
        <v>22</v>
      </c>
      <c r="H281">
        <v>69</v>
      </c>
      <c r="I281">
        <v>19.12</v>
      </c>
      <c r="J281">
        <v>5.71</v>
      </c>
      <c r="K281" t="s">
        <v>15</v>
      </c>
      <c r="L281">
        <v>78</v>
      </c>
      <c r="M281">
        <v>154</v>
      </c>
      <c r="N281">
        <v>85</v>
      </c>
      <c r="O281">
        <v>51</v>
      </c>
      <c r="P281" t="s">
        <v>44</v>
      </c>
    </row>
    <row r="282" spans="1:16" x14ac:dyDescent="0.25">
      <c r="A282">
        <v>286</v>
      </c>
      <c r="B282" s="2">
        <v>43896.584722222222</v>
      </c>
      <c r="C282" s="2">
        <v>43897.49722222222</v>
      </c>
      <c r="D282">
        <v>2</v>
      </c>
      <c r="E282" t="s">
        <v>4</v>
      </c>
      <c r="F282" t="s">
        <v>10</v>
      </c>
      <c r="G282" t="s">
        <v>30</v>
      </c>
      <c r="H282">
        <v>76</v>
      </c>
      <c r="I282">
        <v>5.61</v>
      </c>
      <c r="J282">
        <v>1.75</v>
      </c>
      <c r="K282" t="s">
        <v>15</v>
      </c>
      <c r="L282">
        <v>81</v>
      </c>
      <c r="M282">
        <v>181</v>
      </c>
      <c r="N282">
        <v>93</v>
      </c>
      <c r="O282">
        <v>56</v>
      </c>
      <c r="P282" t="s">
        <v>44</v>
      </c>
    </row>
    <row r="283" spans="1:16" x14ac:dyDescent="0.25">
      <c r="A283">
        <v>287</v>
      </c>
      <c r="B283" s="2">
        <v>43887.541666666664</v>
      </c>
      <c r="C283" s="2">
        <v>43899.340277777781</v>
      </c>
      <c r="D283">
        <v>5</v>
      </c>
      <c r="E283" t="s">
        <v>6</v>
      </c>
      <c r="F283" t="s">
        <v>10</v>
      </c>
      <c r="G283" t="s">
        <v>32</v>
      </c>
      <c r="H283">
        <v>69</v>
      </c>
      <c r="I283">
        <v>3.99</v>
      </c>
      <c r="J283">
        <v>1.28</v>
      </c>
      <c r="K283" t="s">
        <v>15</v>
      </c>
      <c r="L283">
        <v>76</v>
      </c>
      <c r="M283">
        <v>169</v>
      </c>
      <c r="N283">
        <v>83</v>
      </c>
      <c r="O283">
        <v>60</v>
      </c>
      <c r="P283" t="s">
        <v>44</v>
      </c>
    </row>
    <row r="284" spans="1:16" x14ac:dyDescent="0.25">
      <c r="A284">
        <v>288</v>
      </c>
      <c r="B284" s="2">
        <v>43898.583333333336</v>
      </c>
      <c r="C284" s="2">
        <v>43899.34375</v>
      </c>
      <c r="D284">
        <v>2</v>
      </c>
      <c r="E284" t="s">
        <v>4</v>
      </c>
      <c r="F284" t="s">
        <v>10</v>
      </c>
      <c r="G284" t="s">
        <v>31</v>
      </c>
      <c r="H284">
        <v>82</v>
      </c>
      <c r="I284">
        <v>3.95</v>
      </c>
      <c r="J284">
        <v>1.04</v>
      </c>
      <c r="K284" t="s">
        <v>15</v>
      </c>
      <c r="L284">
        <v>84</v>
      </c>
      <c r="M284">
        <v>171</v>
      </c>
      <c r="N284">
        <v>77</v>
      </c>
      <c r="O284">
        <v>10</v>
      </c>
      <c r="P284" t="s">
        <v>47</v>
      </c>
    </row>
    <row r="285" spans="1:16" x14ac:dyDescent="0.25">
      <c r="A285">
        <v>289</v>
      </c>
      <c r="B285" s="2">
        <v>43898.583333333336</v>
      </c>
      <c r="C285" s="2">
        <v>43899.349305555559</v>
      </c>
      <c r="D285">
        <v>6</v>
      </c>
      <c r="E285" t="s">
        <v>4</v>
      </c>
      <c r="F285" t="s">
        <v>10</v>
      </c>
      <c r="G285" t="s">
        <v>23</v>
      </c>
      <c r="H285">
        <v>83</v>
      </c>
      <c r="I285">
        <v>4.21</v>
      </c>
      <c r="J285">
        <v>0.96</v>
      </c>
      <c r="K285" t="s">
        <v>15</v>
      </c>
      <c r="L285">
        <v>99</v>
      </c>
      <c r="M285">
        <v>169</v>
      </c>
      <c r="N285">
        <v>91</v>
      </c>
      <c r="O285">
        <v>60</v>
      </c>
      <c r="P285" t="s">
        <v>44</v>
      </c>
    </row>
    <row r="286" spans="1:16" x14ac:dyDescent="0.25">
      <c r="A286">
        <v>290</v>
      </c>
      <c r="B286" s="2">
        <v>43898.541666666664</v>
      </c>
      <c r="C286" s="2">
        <v>43899.427083333336</v>
      </c>
      <c r="D286">
        <v>3</v>
      </c>
      <c r="E286" t="s">
        <v>4</v>
      </c>
      <c r="F286" t="s">
        <v>11</v>
      </c>
      <c r="G286" t="s">
        <v>33</v>
      </c>
      <c r="H286">
        <v>66</v>
      </c>
      <c r="I286">
        <v>3.57</v>
      </c>
      <c r="J286">
        <v>1.87</v>
      </c>
      <c r="K286" t="s">
        <v>15</v>
      </c>
      <c r="L286">
        <v>66</v>
      </c>
      <c r="M286">
        <v>173</v>
      </c>
      <c r="N286">
        <v>77</v>
      </c>
      <c r="O286">
        <v>35</v>
      </c>
      <c r="P286" t="s">
        <v>46</v>
      </c>
    </row>
    <row r="287" spans="1:16" x14ac:dyDescent="0.25">
      <c r="A287">
        <v>291</v>
      </c>
      <c r="B287" s="2">
        <v>43898.458333333336</v>
      </c>
      <c r="C287" s="2">
        <v>43899.493055555555</v>
      </c>
      <c r="D287">
        <v>2</v>
      </c>
      <c r="E287" t="s">
        <v>6</v>
      </c>
      <c r="F287" t="s">
        <v>11</v>
      </c>
      <c r="G287" t="s">
        <v>31</v>
      </c>
      <c r="H287">
        <v>80</v>
      </c>
      <c r="I287">
        <v>24.21</v>
      </c>
      <c r="J287">
        <v>5.8</v>
      </c>
      <c r="K287" t="s">
        <v>15</v>
      </c>
      <c r="L287">
        <v>103</v>
      </c>
      <c r="M287">
        <v>175</v>
      </c>
      <c r="N287">
        <v>82</v>
      </c>
      <c r="O287">
        <v>42</v>
      </c>
      <c r="P287" t="s">
        <v>46</v>
      </c>
    </row>
    <row r="288" spans="1:16" x14ac:dyDescent="0.25">
      <c r="A288">
        <v>292</v>
      </c>
      <c r="B288" s="2">
        <v>43899.333333333336</v>
      </c>
      <c r="C288" s="2">
        <v>43899.520833333336</v>
      </c>
      <c r="D288">
        <v>6</v>
      </c>
      <c r="E288" t="s">
        <v>4</v>
      </c>
      <c r="F288" t="s">
        <v>10</v>
      </c>
      <c r="G288" t="s">
        <v>23</v>
      </c>
      <c r="H288">
        <v>63</v>
      </c>
      <c r="I288">
        <v>1.59</v>
      </c>
      <c r="J288">
        <v>0.68</v>
      </c>
      <c r="K288" t="s">
        <v>15</v>
      </c>
      <c r="L288">
        <v>66</v>
      </c>
      <c r="M288">
        <v>183</v>
      </c>
      <c r="N288">
        <v>119</v>
      </c>
      <c r="O288">
        <v>39</v>
      </c>
      <c r="P288" t="s">
        <v>46</v>
      </c>
    </row>
    <row r="289" spans="1:16" x14ac:dyDescent="0.25">
      <c r="A289">
        <v>293</v>
      </c>
      <c r="B289" s="2">
        <v>43899.340277777781</v>
      </c>
      <c r="C289" s="2">
        <v>43899.529861111114</v>
      </c>
      <c r="D289">
        <v>5</v>
      </c>
      <c r="E289" t="s">
        <v>4</v>
      </c>
      <c r="F289" t="s">
        <v>11</v>
      </c>
      <c r="G289" t="s">
        <v>32</v>
      </c>
      <c r="H289">
        <v>70</v>
      </c>
      <c r="I289">
        <v>4.95</v>
      </c>
      <c r="J289">
        <v>1.53</v>
      </c>
      <c r="K289" t="s">
        <v>15</v>
      </c>
      <c r="L289">
        <v>86</v>
      </c>
      <c r="M289">
        <v>167</v>
      </c>
      <c r="N289">
        <v>61</v>
      </c>
      <c r="O289">
        <v>55</v>
      </c>
      <c r="P289" t="s">
        <v>44</v>
      </c>
    </row>
    <row r="290" spans="1:16" x14ac:dyDescent="0.25">
      <c r="A290">
        <v>294</v>
      </c>
      <c r="B290" s="2">
        <v>43899.326388888891</v>
      </c>
      <c r="C290" s="2">
        <v>43899.628472222219</v>
      </c>
      <c r="D290">
        <v>3</v>
      </c>
      <c r="E290" t="s">
        <v>4</v>
      </c>
      <c r="F290" t="s">
        <v>10</v>
      </c>
      <c r="G290" t="s">
        <v>33</v>
      </c>
      <c r="H290">
        <v>60</v>
      </c>
      <c r="I290">
        <v>2.23</v>
      </c>
      <c r="J290">
        <v>0.81</v>
      </c>
      <c r="K290" t="s">
        <v>15</v>
      </c>
      <c r="L290">
        <v>90</v>
      </c>
      <c r="M290">
        <v>162</v>
      </c>
      <c r="N290">
        <v>101</v>
      </c>
      <c r="O290">
        <v>60</v>
      </c>
      <c r="P290" t="s">
        <v>44</v>
      </c>
    </row>
    <row r="291" spans="1:16" x14ac:dyDescent="0.25">
      <c r="A291">
        <v>295</v>
      </c>
      <c r="B291" s="2">
        <v>43899.45</v>
      </c>
      <c r="C291" s="2">
        <v>43900.336805555555</v>
      </c>
      <c r="D291">
        <v>6</v>
      </c>
      <c r="E291" t="s">
        <v>4</v>
      </c>
      <c r="F291" t="s">
        <v>3</v>
      </c>
      <c r="G291" t="s">
        <v>24</v>
      </c>
      <c r="H291">
        <v>77</v>
      </c>
      <c r="I291">
        <v>6.59</v>
      </c>
      <c r="J291">
        <v>1.82</v>
      </c>
      <c r="K291" t="s">
        <v>15</v>
      </c>
      <c r="L291">
        <v>93</v>
      </c>
      <c r="M291">
        <v>165</v>
      </c>
      <c r="N291">
        <v>86</v>
      </c>
      <c r="O291">
        <v>45</v>
      </c>
      <c r="P291" t="s">
        <v>46</v>
      </c>
    </row>
    <row r="292" spans="1:16" x14ac:dyDescent="0.25">
      <c r="A292">
        <v>296</v>
      </c>
      <c r="B292" s="2">
        <v>43899.445833333331</v>
      </c>
      <c r="C292" s="2">
        <v>43900.338194444441</v>
      </c>
      <c r="D292">
        <v>3</v>
      </c>
      <c r="E292" t="s">
        <v>6</v>
      </c>
      <c r="F292" t="s">
        <v>11</v>
      </c>
      <c r="G292" t="s">
        <v>31</v>
      </c>
      <c r="H292">
        <v>77</v>
      </c>
      <c r="I292">
        <v>7.67</v>
      </c>
      <c r="J292">
        <v>2.54</v>
      </c>
      <c r="K292" t="s">
        <v>15</v>
      </c>
      <c r="L292">
        <v>70</v>
      </c>
      <c r="M292">
        <v>177</v>
      </c>
      <c r="N292">
        <v>75</v>
      </c>
      <c r="O292">
        <v>50</v>
      </c>
      <c r="P292" t="s">
        <v>46</v>
      </c>
    </row>
    <row r="293" spans="1:16" x14ac:dyDescent="0.25">
      <c r="A293">
        <v>297</v>
      </c>
      <c r="B293" s="2">
        <v>43887.541666666664</v>
      </c>
      <c r="C293" s="2">
        <v>43900.349305555559</v>
      </c>
      <c r="D293">
        <v>5</v>
      </c>
      <c r="E293" t="s">
        <v>6</v>
      </c>
      <c r="F293" t="s">
        <v>10</v>
      </c>
      <c r="G293" t="s">
        <v>26</v>
      </c>
      <c r="H293">
        <v>75</v>
      </c>
      <c r="I293">
        <v>4.0599999999999996</v>
      </c>
      <c r="J293">
        <v>1.9</v>
      </c>
      <c r="K293" t="s">
        <v>15</v>
      </c>
      <c r="L293">
        <v>130</v>
      </c>
      <c r="M293">
        <v>171</v>
      </c>
      <c r="N293">
        <v>78</v>
      </c>
      <c r="O293">
        <v>58</v>
      </c>
      <c r="P293" t="s">
        <v>44</v>
      </c>
    </row>
    <row r="294" spans="1:16" x14ac:dyDescent="0.25">
      <c r="A294">
        <v>298</v>
      </c>
      <c r="B294" s="2">
        <v>43899.458333333336</v>
      </c>
      <c r="C294" s="2">
        <v>43900.504861111112</v>
      </c>
      <c r="D294">
        <v>6</v>
      </c>
      <c r="E294" t="s">
        <v>6</v>
      </c>
      <c r="F294" t="s">
        <v>3</v>
      </c>
      <c r="G294" t="s">
        <v>24</v>
      </c>
      <c r="H294">
        <v>52</v>
      </c>
      <c r="I294">
        <v>1.51</v>
      </c>
      <c r="J294">
        <v>1.31</v>
      </c>
      <c r="K294" t="s">
        <v>15</v>
      </c>
      <c r="L294">
        <v>98</v>
      </c>
      <c r="M294">
        <v>167</v>
      </c>
      <c r="N294">
        <v>68</v>
      </c>
      <c r="O294">
        <v>49</v>
      </c>
      <c r="P294" t="s">
        <v>46</v>
      </c>
    </row>
    <row r="295" spans="1:16" x14ac:dyDescent="0.25">
      <c r="A295">
        <v>299</v>
      </c>
      <c r="B295" s="2">
        <v>43899.708333333336</v>
      </c>
      <c r="C295" s="2">
        <v>43900.560416666667</v>
      </c>
      <c r="D295">
        <v>5</v>
      </c>
      <c r="E295" t="s">
        <v>4</v>
      </c>
      <c r="F295" t="s">
        <v>3</v>
      </c>
      <c r="G295" t="s">
        <v>26</v>
      </c>
      <c r="H295">
        <v>74</v>
      </c>
      <c r="I295">
        <v>3.99</v>
      </c>
      <c r="J295">
        <v>1</v>
      </c>
      <c r="K295" t="s">
        <v>15</v>
      </c>
      <c r="L295">
        <v>80</v>
      </c>
      <c r="M295">
        <v>185</v>
      </c>
      <c r="N295">
        <v>100</v>
      </c>
      <c r="O295">
        <v>59</v>
      </c>
      <c r="P295" t="s">
        <v>44</v>
      </c>
    </row>
    <row r="296" spans="1:16" x14ac:dyDescent="0.25">
      <c r="A296">
        <v>300</v>
      </c>
      <c r="B296" s="2">
        <v>43900.335416666669</v>
      </c>
      <c r="C296" s="2">
        <v>43900.585416666669</v>
      </c>
      <c r="D296">
        <v>3</v>
      </c>
      <c r="E296" t="s">
        <v>4</v>
      </c>
      <c r="F296" t="s">
        <v>10</v>
      </c>
      <c r="G296" t="s">
        <v>31</v>
      </c>
      <c r="H296">
        <v>77</v>
      </c>
      <c r="I296">
        <v>2.87</v>
      </c>
      <c r="J296">
        <v>0.9</v>
      </c>
      <c r="K296" t="s">
        <v>15</v>
      </c>
      <c r="L296">
        <v>70</v>
      </c>
      <c r="M296">
        <v>175</v>
      </c>
      <c r="N296">
        <v>90</v>
      </c>
      <c r="O296">
        <v>55</v>
      </c>
      <c r="P296" t="s">
        <v>44</v>
      </c>
    </row>
    <row r="297" spans="1:16" x14ac:dyDescent="0.25">
      <c r="A297">
        <v>301</v>
      </c>
      <c r="B297" s="2">
        <v>43899.554861111108</v>
      </c>
      <c r="C297" s="2">
        <v>43900.625</v>
      </c>
      <c r="D297">
        <v>4</v>
      </c>
      <c r="E297" t="s">
        <v>4</v>
      </c>
      <c r="F297" t="s">
        <v>10</v>
      </c>
      <c r="G297" t="s">
        <v>28</v>
      </c>
      <c r="H297">
        <v>79</v>
      </c>
      <c r="I297">
        <v>3.26</v>
      </c>
      <c r="J297">
        <v>1.28</v>
      </c>
      <c r="K297" t="s">
        <v>15</v>
      </c>
      <c r="L297">
        <v>110</v>
      </c>
      <c r="M297">
        <v>157</v>
      </c>
      <c r="N297">
        <v>109</v>
      </c>
      <c r="O297">
        <v>45</v>
      </c>
      <c r="P297" t="s">
        <v>46</v>
      </c>
    </row>
    <row r="298" spans="1:16" x14ac:dyDescent="0.25">
      <c r="A298">
        <v>302</v>
      </c>
      <c r="B298" s="2">
        <v>43900.584027777775</v>
      </c>
      <c r="C298" s="2">
        <v>43901.333333333336</v>
      </c>
      <c r="D298">
        <v>3</v>
      </c>
      <c r="E298" t="s">
        <v>4</v>
      </c>
      <c r="F298" t="s">
        <v>1</v>
      </c>
      <c r="G298" t="s">
        <v>24</v>
      </c>
      <c r="H298">
        <v>63</v>
      </c>
      <c r="I298">
        <v>5.98</v>
      </c>
      <c r="J298">
        <v>1.79</v>
      </c>
      <c r="K298" t="s">
        <v>15</v>
      </c>
      <c r="L298">
        <v>73</v>
      </c>
      <c r="M298">
        <v>176</v>
      </c>
      <c r="N298">
        <v>90</v>
      </c>
      <c r="O298">
        <v>65</v>
      </c>
      <c r="P298" t="s">
        <v>44</v>
      </c>
    </row>
    <row r="299" spans="1:16" x14ac:dyDescent="0.25">
      <c r="A299">
        <v>303</v>
      </c>
      <c r="B299" s="2">
        <v>43900.458333333336</v>
      </c>
      <c r="C299" s="2">
        <v>43901.340277777781</v>
      </c>
      <c r="D299">
        <v>6</v>
      </c>
      <c r="E299" t="s">
        <v>6</v>
      </c>
      <c r="F299" t="s">
        <v>11</v>
      </c>
      <c r="G299" t="s">
        <v>22</v>
      </c>
      <c r="H299">
        <v>81</v>
      </c>
      <c r="I299">
        <v>6.21</v>
      </c>
      <c r="J299">
        <v>3.21</v>
      </c>
      <c r="K299" t="s">
        <v>15</v>
      </c>
      <c r="L299">
        <v>73</v>
      </c>
      <c r="M299">
        <v>165</v>
      </c>
      <c r="N299">
        <v>83</v>
      </c>
      <c r="O299">
        <v>37</v>
      </c>
      <c r="P299" t="s">
        <v>46</v>
      </c>
    </row>
    <row r="300" spans="1:16" x14ac:dyDescent="0.25">
      <c r="A300">
        <v>304</v>
      </c>
      <c r="B300" s="2">
        <v>43901.288888888892</v>
      </c>
      <c r="C300" s="2">
        <v>43901.348611111112</v>
      </c>
      <c r="D300">
        <v>2</v>
      </c>
      <c r="E300" t="s">
        <v>4</v>
      </c>
      <c r="F300" t="s">
        <v>3</v>
      </c>
      <c r="G300" t="s">
        <v>28</v>
      </c>
      <c r="H300">
        <v>70</v>
      </c>
      <c r="I300">
        <v>6.76</v>
      </c>
      <c r="J300">
        <v>1.5</v>
      </c>
      <c r="K300" t="s">
        <v>15</v>
      </c>
      <c r="L300">
        <v>74</v>
      </c>
      <c r="M300">
        <v>155</v>
      </c>
      <c r="N300">
        <v>63</v>
      </c>
      <c r="O300">
        <v>51</v>
      </c>
      <c r="P300" t="s">
        <v>44</v>
      </c>
    </row>
    <row r="301" spans="1:16" x14ac:dyDescent="0.25">
      <c r="A301">
        <v>305</v>
      </c>
      <c r="B301" s="2">
        <v>43900.458333333336</v>
      </c>
      <c r="C301" s="2">
        <v>43901.577777777777</v>
      </c>
      <c r="D301">
        <v>2</v>
      </c>
      <c r="E301" t="s">
        <v>6</v>
      </c>
      <c r="F301" t="s">
        <v>10</v>
      </c>
      <c r="G301" t="s">
        <v>28</v>
      </c>
      <c r="H301">
        <v>81</v>
      </c>
      <c r="I301">
        <v>5.53</v>
      </c>
      <c r="J301">
        <v>2.52</v>
      </c>
      <c r="K301" t="s">
        <v>15</v>
      </c>
      <c r="L301">
        <v>78</v>
      </c>
      <c r="M301">
        <v>180</v>
      </c>
      <c r="N301">
        <v>91</v>
      </c>
      <c r="O301">
        <v>64</v>
      </c>
      <c r="P301" t="s">
        <v>44</v>
      </c>
    </row>
    <row r="302" spans="1:16" x14ac:dyDescent="0.25">
      <c r="A302">
        <v>306</v>
      </c>
      <c r="B302" s="2">
        <v>43901.326388888891</v>
      </c>
      <c r="C302" s="2">
        <v>43901.595138888886</v>
      </c>
      <c r="D302">
        <v>6</v>
      </c>
      <c r="E302" t="s">
        <v>4</v>
      </c>
      <c r="F302" t="s">
        <v>1</v>
      </c>
      <c r="G302" t="s">
        <v>22</v>
      </c>
      <c r="H302">
        <v>75</v>
      </c>
      <c r="I302">
        <v>3.47</v>
      </c>
      <c r="J302">
        <v>1.28</v>
      </c>
      <c r="K302" t="s">
        <v>13</v>
      </c>
      <c r="L302">
        <v>76</v>
      </c>
      <c r="M302">
        <v>175</v>
      </c>
      <c r="N302">
        <v>109</v>
      </c>
      <c r="O302">
        <v>65</v>
      </c>
      <c r="P302" t="s">
        <v>44</v>
      </c>
    </row>
    <row r="303" spans="1:16" x14ac:dyDescent="0.25">
      <c r="A303">
        <v>307</v>
      </c>
      <c r="B303" s="2">
        <v>43900.549305555556</v>
      </c>
      <c r="C303" s="2">
        <v>43901.618055555555</v>
      </c>
      <c r="D303">
        <v>3</v>
      </c>
      <c r="E303" t="s">
        <v>4</v>
      </c>
      <c r="F303" t="s">
        <v>3</v>
      </c>
      <c r="G303" t="s">
        <v>24</v>
      </c>
      <c r="H303">
        <v>73</v>
      </c>
      <c r="I303">
        <v>3.74</v>
      </c>
      <c r="J303">
        <v>0.81</v>
      </c>
      <c r="K303" t="s">
        <v>15</v>
      </c>
      <c r="L303">
        <v>66</v>
      </c>
      <c r="M303">
        <v>178</v>
      </c>
      <c r="N303">
        <v>109</v>
      </c>
      <c r="O303">
        <v>32</v>
      </c>
      <c r="P303" t="s">
        <v>46</v>
      </c>
    </row>
    <row r="304" spans="1:16" x14ac:dyDescent="0.25">
      <c r="A304">
        <v>308</v>
      </c>
      <c r="B304" s="2">
        <v>43900.458333333336</v>
      </c>
      <c r="C304" s="2">
        <v>43902.331250000003</v>
      </c>
      <c r="D304">
        <v>3</v>
      </c>
      <c r="E304" t="s">
        <v>6</v>
      </c>
      <c r="F304" t="s">
        <v>11</v>
      </c>
      <c r="G304" t="s">
        <v>32</v>
      </c>
      <c r="H304">
        <v>66</v>
      </c>
      <c r="I304">
        <v>10.94</v>
      </c>
      <c r="J304">
        <v>7.01</v>
      </c>
      <c r="K304" t="s">
        <v>13</v>
      </c>
      <c r="L304">
        <v>70</v>
      </c>
      <c r="M304">
        <v>180</v>
      </c>
      <c r="N304">
        <v>68</v>
      </c>
      <c r="O304">
        <v>15</v>
      </c>
      <c r="P304" t="s">
        <v>47</v>
      </c>
    </row>
    <row r="305" spans="1:16" x14ac:dyDescent="0.25">
      <c r="A305">
        <v>309</v>
      </c>
      <c r="B305" s="2">
        <v>43901.652777777781</v>
      </c>
      <c r="C305" s="2">
        <v>43902.339583333334</v>
      </c>
      <c r="D305">
        <v>5</v>
      </c>
      <c r="E305" t="s">
        <v>4</v>
      </c>
      <c r="F305" t="s">
        <v>3</v>
      </c>
      <c r="G305" t="s">
        <v>23</v>
      </c>
      <c r="H305">
        <v>79</v>
      </c>
      <c r="I305">
        <v>32.06</v>
      </c>
      <c r="J305">
        <v>20.39</v>
      </c>
      <c r="K305" t="s">
        <v>15</v>
      </c>
      <c r="L305">
        <v>96</v>
      </c>
      <c r="M305">
        <v>167</v>
      </c>
      <c r="N305">
        <v>72</v>
      </c>
      <c r="O305">
        <v>55</v>
      </c>
      <c r="P305" t="s">
        <v>44</v>
      </c>
    </row>
    <row r="306" spans="1:16" x14ac:dyDescent="0.25">
      <c r="A306">
        <v>310</v>
      </c>
      <c r="B306" s="2">
        <v>43901.6875</v>
      </c>
      <c r="C306" s="2">
        <v>43902.340277777781</v>
      </c>
      <c r="D306">
        <v>6</v>
      </c>
      <c r="E306" t="s">
        <v>4</v>
      </c>
      <c r="F306" t="s">
        <v>3</v>
      </c>
      <c r="G306" t="s">
        <v>28</v>
      </c>
      <c r="H306">
        <v>73</v>
      </c>
      <c r="I306">
        <v>5.98</v>
      </c>
      <c r="J306">
        <v>2.37</v>
      </c>
      <c r="K306" t="s">
        <v>15</v>
      </c>
      <c r="L306">
        <v>72</v>
      </c>
      <c r="M306">
        <v>154</v>
      </c>
      <c r="N306">
        <v>98</v>
      </c>
      <c r="O306">
        <v>20</v>
      </c>
      <c r="P306" t="s">
        <v>47</v>
      </c>
    </row>
    <row r="307" spans="1:16" x14ac:dyDescent="0.25">
      <c r="A307">
        <v>311</v>
      </c>
      <c r="B307" s="2">
        <v>43901.604166666664</v>
      </c>
      <c r="C307" s="2">
        <v>43902.340277777781</v>
      </c>
      <c r="D307">
        <v>1</v>
      </c>
      <c r="E307" t="s">
        <v>6</v>
      </c>
      <c r="F307" t="s">
        <v>1</v>
      </c>
      <c r="G307" t="s">
        <v>33</v>
      </c>
      <c r="H307">
        <v>71</v>
      </c>
      <c r="I307">
        <v>14.16</v>
      </c>
      <c r="J307">
        <v>7.27</v>
      </c>
      <c r="K307" t="s">
        <v>15</v>
      </c>
      <c r="L307">
        <v>61</v>
      </c>
      <c r="M307">
        <v>172</v>
      </c>
      <c r="N307">
        <v>82</v>
      </c>
      <c r="O307">
        <v>30</v>
      </c>
      <c r="P307" t="s">
        <v>45</v>
      </c>
    </row>
    <row r="308" spans="1:16" x14ac:dyDescent="0.25">
      <c r="A308">
        <v>312</v>
      </c>
      <c r="B308" s="2">
        <v>43902.313194444447</v>
      </c>
      <c r="C308" s="2">
        <v>43902.38958333333</v>
      </c>
      <c r="D308">
        <v>2</v>
      </c>
      <c r="E308" t="s">
        <v>4</v>
      </c>
      <c r="F308" t="s">
        <v>3</v>
      </c>
      <c r="G308" t="s">
        <v>21</v>
      </c>
      <c r="H308">
        <v>70</v>
      </c>
      <c r="I308">
        <v>3.08</v>
      </c>
      <c r="J308">
        <v>0.67</v>
      </c>
      <c r="K308" t="s">
        <v>15</v>
      </c>
      <c r="L308">
        <v>79</v>
      </c>
      <c r="M308">
        <v>181</v>
      </c>
      <c r="N308">
        <v>104</v>
      </c>
      <c r="O308">
        <v>51</v>
      </c>
      <c r="P308" t="s">
        <v>44</v>
      </c>
    </row>
    <row r="309" spans="1:16" x14ac:dyDescent="0.25">
      <c r="A309">
        <v>313</v>
      </c>
      <c r="B309" s="2">
        <v>43902.368055555555</v>
      </c>
      <c r="C309" s="2">
        <v>43902.515277777777</v>
      </c>
      <c r="D309">
        <v>1</v>
      </c>
      <c r="E309" t="s">
        <v>4</v>
      </c>
      <c r="F309" t="s">
        <v>3</v>
      </c>
      <c r="G309" t="s">
        <v>33</v>
      </c>
      <c r="H309">
        <v>75</v>
      </c>
      <c r="I309">
        <v>6.32</v>
      </c>
      <c r="J309">
        <v>1.17</v>
      </c>
      <c r="K309" t="s">
        <v>15</v>
      </c>
      <c r="L309">
        <v>108</v>
      </c>
      <c r="M309">
        <v>156</v>
      </c>
      <c r="N309">
        <v>67</v>
      </c>
      <c r="O309">
        <v>64</v>
      </c>
      <c r="P309" t="s">
        <v>44</v>
      </c>
    </row>
    <row r="310" spans="1:16" x14ac:dyDescent="0.25">
      <c r="A310">
        <v>314</v>
      </c>
      <c r="B310" s="2">
        <v>43902.333333333336</v>
      </c>
      <c r="C310" s="2">
        <v>43902.544444444444</v>
      </c>
      <c r="D310">
        <v>5</v>
      </c>
      <c r="E310" t="s">
        <v>4</v>
      </c>
      <c r="F310" t="s">
        <v>11</v>
      </c>
      <c r="G310" t="s">
        <v>23</v>
      </c>
      <c r="H310">
        <v>72</v>
      </c>
      <c r="I310">
        <v>3.51</v>
      </c>
      <c r="J310">
        <v>2.88</v>
      </c>
      <c r="K310" t="s">
        <v>15</v>
      </c>
      <c r="L310">
        <v>80</v>
      </c>
      <c r="M310">
        <v>175</v>
      </c>
      <c r="N310">
        <v>167</v>
      </c>
      <c r="O310">
        <v>60</v>
      </c>
      <c r="P310" t="s">
        <v>44</v>
      </c>
    </row>
    <row r="311" spans="1:16" x14ac:dyDescent="0.25">
      <c r="A311">
        <v>315</v>
      </c>
      <c r="B311" s="2">
        <v>43902.330555555556</v>
      </c>
      <c r="C311" s="2">
        <v>43902.565972222219</v>
      </c>
      <c r="D311">
        <v>3</v>
      </c>
      <c r="E311" t="s">
        <v>4</v>
      </c>
      <c r="F311" t="s">
        <v>11</v>
      </c>
      <c r="G311" t="s">
        <v>32</v>
      </c>
      <c r="H311">
        <v>81</v>
      </c>
      <c r="I311">
        <v>20.07</v>
      </c>
      <c r="J311">
        <v>16.09</v>
      </c>
      <c r="K311" t="s">
        <v>13</v>
      </c>
      <c r="L311">
        <v>65</v>
      </c>
      <c r="M311">
        <v>180</v>
      </c>
      <c r="N311">
        <v>80</v>
      </c>
      <c r="O311">
        <v>28</v>
      </c>
      <c r="P311" t="s">
        <v>45</v>
      </c>
    </row>
    <row r="312" spans="1:16" x14ac:dyDescent="0.25">
      <c r="A312">
        <v>316</v>
      </c>
      <c r="B312" s="2">
        <v>43902.327777777777</v>
      </c>
      <c r="C312" s="2">
        <v>43902.602777777778</v>
      </c>
      <c r="D312">
        <v>6</v>
      </c>
      <c r="E312" t="s">
        <v>4</v>
      </c>
      <c r="F312" t="s">
        <v>3</v>
      </c>
      <c r="G312" t="s">
        <v>28</v>
      </c>
      <c r="H312">
        <v>60</v>
      </c>
      <c r="I312">
        <v>2.2200000000000002</v>
      </c>
      <c r="J312">
        <v>0.62</v>
      </c>
      <c r="K312" t="s">
        <v>15</v>
      </c>
      <c r="L312">
        <v>92</v>
      </c>
      <c r="M312">
        <v>165</v>
      </c>
      <c r="N312">
        <v>65</v>
      </c>
      <c r="O312">
        <v>51</v>
      </c>
      <c r="P312" t="s">
        <v>44</v>
      </c>
    </row>
    <row r="313" spans="1:16" x14ac:dyDescent="0.25">
      <c r="A313">
        <v>317</v>
      </c>
      <c r="B313" s="2">
        <v>43901.59375</v>
      </c>
      <c r="C313" s="2">
        <v>43903.338888888888</v>
      </c>
      <c r="D313">
        <v>2</v>
      </c>
      <c r="E313" t="s">
        <v>4</v>
      </c>
      <c r="F313" t="s">
        <v>3</v>
      </c>
      <c r="G313" t="s">
        <v>21</v>
      </c>
      <c r="H313">
        <v>60</v>
      </c>
      <c r="I313">
        <v>4.55</v>
      </c>
      <c r="J313">
        <v>3.14</v>
      </c>
      <c r="K313" t="s">
        <v>15</v>
      </c>
      <c r="L313">
        <v>70</v>
      </c>
      <c r="M313">
        <v>170</v>
      </c>
      <c r="N313">
        <v>71</v>
      </c>
      <c r="O313">
        <v>50</v>
      </c>
      <c r="P313" t="s">
        <v>46</v>
      </c>
    </row>
    <row r="314" spans="1:16" x14ac:dyDescent="0.25">
      <c r="A314">
        <v>318</v>
      </c>
      <c r="B314" s="2">
        <v>43902.569444444445</v>
      </c>
      <c r="C314" s="2">
        <v>43903.339583333334</v>
      </c>
      <c r="D314">
        <v>3</v>
      </c>
      <c r="E314" t="s">
        <v>4</v>
      </c>
      <c r="F314" t="s">
        <v>3</v>
      </c>
      <c r="G314" t="s">
        <v>35</v>
      </c>
      <c r="H314">
        <v>59</v>
      </c>
      <c r="I314">
        <v>1.51</v>
      </c>
      <c r="J314">
        <v>0.5</v>
      </c>
      <c r="K314" t="s">
        <v>15</v>
      </c>
      <c r="L314">
        <v>74</v>
      </c>
      <c r="M314">
        <v>175</v>
      </c>
      <c r="N314">
        <v>95</v>
      </c>
      <c r="O314">
        <v>71</v>
      </c>
      <c r="P314" t="s">
        <v>44</v>
      </c>
    </row>
    <row r="315" spans="1:16" x14ac:dyDescent="0.25">
      <c r="A315">
        <v>319</v>
      </c>
      <c r="B315" s="2">
        <v>43903.289583333331</v>
      </c>
      <c r="C315" s="2">
        <v>43903.34097222222</v>
      </c>
      <c r="D315">
        <v>5</v>
      </c>
      <c r="E315" t="s">
        <v>4</v>
      </c>
      <c r="F315" t="s">
        <v>3</v>
      </c>
      <c r="G315" t="s">
        <v>28</v>
      </c>
      <c r="H315">
        <v>74</v>
      </c>
      <c r="I315">
        <v>5.46</v>
      </c>
      <c r="J315">
        <v>6.07</v>
      </c>
      <c r="K315" t="s">
        <v>15</v>
      </c>
      <c r="L315">
        <v>73</v>
      </c>
      <c r="M315">
        <v>173</v>
      </c>
      <c r="N315">
        <v>70</v>
      </c>
      <c r="O315">
        <v>55</v>
      </c>
      <c r="P315" t="s">
        <v>44</v>
      </c>
    </row>
    <row r="316" spans="1:16" x14ac:dyDescent="0.25">
      <c r="A316">
        <v>320</v>
      </c>
      <c r="B316" s="2">
        <v>43902.432638888888</v>
      </c>
      <c r="C316" s="2">
        <v>43903.398611111108</v>
      </c>
      <c r="D316">
        <v>6</v>
      </c>
      <c r="E316" t="s">
        <v>4</v>
      </c>
      <c r="F316" t="s">
        <v>10</v>
      </c>
      <c r="G316" t="s">
        <v>31</v>
      </c>
      <c r="H316">
        <v>81</v>
      </c>
      <c r="I316">
        <v>10.14</v>
      </c>
      <c r="J316">
        <v>2.34</v>
      </c>
      <c r="K316" t="s">
        <v>15</v>
      </c>
      <c r="L316">
        <v>81</v>
      </c>
      <c r="M316">
        <v>150</v>
      </c>
      <c r="N316">
        <v>60</v>
      </c>
      <c r="O316">
        <v>54</v>
      </c>
      <c r="P316" t="s">
        <v>44</v>
      </c>
    </row>
    <row r="317" spans="1:16" x14ac:dyDescent="0.25">
      <c r="A317">
        <v>321</v>
      </c>
      <c r="B317" s="2">
        <v>43902.525694444441</v>
      </c>
      <c r="C317" s="2">
        <v>43903.510416666664</v>
      </c>
      <c r="D317">
        <v>6</v>
      </c>
      <c r="E317" t="s">
        <v>4</v>
      </c>
      <c r="F317" t="s">
        <v>10</v>
      </c>
      <c r="G317" t="s">
        <v>31</v>
      </c>
      <c r="H317">
        <v>70</v>
      </c>
      <c r="I317">
        <v>2.94</v>
      </c>
      <c r="J317">
        <v>0.89</v>
      </c>
      <c r="K317" t="s">
        <v>15</v>
      </c>
      <c r="L317">
        <v>92</v>
      </c>
      <c r="M317">
        <v>176</v>
      </c>
      <c r="N317">
        <v>89</v>
      </c>
      <c r="O317">
        <v>50</v>
      </c>
      <c r="P317" t="s">
        <v>46</v>
      </c>
    </row>
    <row r="318" spans="1:16" x14ac:dyDescent="0.25">
      <c r="A318">
        <v>322</v>
      </c>
      <c r="B318" s="2">
        <v>43903.309027777781</v>
      </c>
      <c r="C318" s="2">
        <v>43903.582638888889</v>
      </c>
      <c r="D318">
        <v>3</v>
      </c>
      <c r="E318" t="s">
        <v>4</v>
      </c>
      <c r="F318" t="s">
        <v>3</v>
      </c>
      <c r="G318" t="s">
        <v>35</v>
      </c>
      <c r="H318">
        <v>68</v>
      </c>
      <c r="I318">
        <v>1.59</v>
      </c>
      <c r="J318">
        <v>0.63</v>
      </c>
      <c r="K318" t="s">
        <v>15</v>
      </c>
      <c r="L318">
        <v>174</v>
      </c>
      <c r="M318">
        <v>175</v>
      </c>
      <c r="N318">
        <v>91</v>
      </c>
      <c r="O318">
        <v>34</v>
      </c>
      <c r="P318" t="s">
        <v>46</v>
      </c>
    </row>
    <row r="319" spans="1:16" x14ac:dyDescent="0.25">
      <c r="A319">
        <v>323</v>
      </c>
      <c r="B319" s="2">
        <v>43903.659722222219</v>
      </c>
      <c r="C319" s="2">
        <v>43904.331944444442</v>
      </c>
      <c r="D319">
        <v>2</v>
      </c>
      <c r="E319" t="s">
        <v>4</v>
      </c>
      <c r="F319" t="s">
        <v>3</v>
      </c>
      <c r="G319" t="s">
        <v>23</v>
      </c>
      <c r="H319">
        <v>76</v>
      </c>
      <c r="I319">
        <v>4.53</v>
      </c>
      <c r="J319">
        <v>0.88</v>
      </c>
      <c r="K319" t="s">
        <v>15</v>
      </c>
      <c r="L319">
        <v>93</v>
      </c>
      <c r="M319">
        <v>175</v>
      </c>
      <c r="N319">
        <v>93</v>
      </c>
      <c r="O319">
        <v>50</v>
      </c>
      <c r="P319" t="s">
        <v>46</v>
      </c>
    </row>
    <row r="320" spans="1:16" x14ac:dyDescent="0.25">
      <c r="A320">
        <v>324</v>
      </c>
      <c r="B320" s="2">
        <v>43903.561805555553</v>
      </c>
      <c r="C320" s="2">
        <v>43904.333333333336</v>
      </c>
      <c r="D320">
        <v>5</v>
      </c>
      <c r="E320" t="s">
        <v>4</v>
      </c>
      <c r="F320" t="s">
        <v>3</v>
      </c>
      <c r="G320" t="s">
        <v>24</v>
      </c>
      <c r="H320">
        <v>67</v>
      </c>
      <c r="I320">
        <v>2.54</v>
      </c>
      <c r="J320">
        <v>0.68</v>
      </c>
      <c r="K320" t="s">
        <v>15</v>
      </c>
      <c r="L320">
        <v>135</v>
      </c>
      <c r="M320">
        <v>159</v>
      </c>
      <c r="N320">
        <v>94</v>
      </c>
      <c r="O320">
        <v>41</v>
      </c>
      <c r="P320" t="s">
        <v>46</v>
      </c>
    </row>
    <row r="321" spans="1:16" x14ac:dyDescent="0.25">
      <c r="A321">
        <v>325</v>
      </c>
      <c r="B321" s="2">
        <v>43891.5</v>
      </c>
      <c r="C321" s="2">
        <v>43904.386805555558</v>
      </c>
      <c r="D321">
        <v>1</v>
      </c>
      <c r="E321" t="s">
        <v>2</v>
      </c>
      <c r="F321" t="s">
        <v>5</v>
      </c>
      <c r="G321" t="s">
        <v>31</v>
      </c>
      <c r="H321">
        <v>67</v>
      </c>
      <c r="I321">
        <v>12.24</v>
      </c>
      <c r="J321">
        <v>6.56</v>
      </c>
      <c r="K321" t="s">
        <v>15</v>
      </c>
      <c r="L321">
        <v>137</v>
      </c>
      <c r="M321">
        <v>189</v>
      </c>
      <c r="N321">
        <v>88</v>
      </c>
      <c r="O321">
        <v>50</v>
      </c>
      <c r="P321" t="s">
        <v>46</v>
      </c>
    </row>
    <row r="322" spans="1:16" x14ac:dyDescent="0.25">
      <c r="A322">
        <v>326</v>
      </c>
      <c r="B322" s="2">
        <v>43903.57708333333</v>
      </c>
      <c r="C322" s="2">
        <v>43904.479166666664</v>
      </c>
      <c r="D322">
        <v>2</v>
      </c>
      <c r="E322" t="s">
        <v>4</v>
      </c>
      <c r="F322" t="s">
        <v>10</v>
      </c>
      <c r="G322" t="s">
        <v>23</v>
      </c>
      <c r="H322">
        <v>69</v>
      </c>
      <c r="I322">
        <v>3.23</v>
      </c>
      <c r="J322">
        <v>1.48</v>
      </c>
      <c r="K322" t="s">
        <v>15</v>
      </c>
      <c r="L322">
        <v>62</v>
      </c>
      <c r="M322">
        <v>181</v>
      </c>
      <c r="N322">
        <v>77</v>
      </c>
      <c r="O322">
        <v>50</v>
      </c>
      <c r="P322" t="s">
        <v>46</v>
      </c>
    </row>
    <row r="323" spans="1:16" x14ac:dyDescent="0.25">
      <c r="A323">
        <v>327</v>
      </c>
      <c r="B323" s="2">
        <v>43903.452777777777</v>
      </c>
      <c r="C323" s="2">
        <v>43904.54583333333</v>
      </c>
      <c r="D323">
        <v>5</v>
      </c>
      <c r="E323" t="s">
        <v>4</v>
      </c>
      <c r="F323" t="s">
        <v>11</v>
      </c>
      <c r="G323" t="s">
        <v>24</v>
      </c>
      <c r="H323">
        <v>70</v>
      </c>
      <c r="I323">
        <v>3.08</v>
      </c>
      <c r="J323">
        <v>1.27</v>
      </c>
      <c r="K323" t="s">
        <v>15</v>
      </c>
      <c r="L323">
        <v>92</v>
      </c>
      <c r="M323">
        <v>170</v>
      </c>
      <c r="N323">
        <v>72</v>
      </c>
      <c r="O323">
        <v>35</v>
      </c>
      <c r="P323" t="s">
        <v>46</v>
      </c>
    </row>
    <row r="324" spans="1:16" x14ac:dyDescent="0.25">
      <c r="A324">
        <v>328</v>
      </c>
      <c r="B324" s="2">
        <v>43896.5</v>
      </c>
      <c r="C324" s="2">
        <v>43906.338194444441</v>
      </c>
      <c r="D324">
        <v>5</v>
      </c>
      <c r="E324" t="s">
        <v>6</v>
      </c>
      <c r="F324" t="s">
        <v>10</v>
      </c>
      <c r="G324" t="s">
        <v>24</v>
      </c>
      <c r="H324">
        <v>54</v>
      </c>
      <c r="I324">
        <v>2.64</v>
      </c>
      <c r="J324">
        <v>1.73</v>
      </c>
      <c r="K324" t="s">
        <v>15</v>
      </c>
      <c r="L324">
        <v>94</v>
      </c>
      <c r="M324">
        <v>180</v>
      </c>
      <c r="N324">
        <v>130</v>
      </c>
      <c r="O324">
        <v>60</v>
      </c>
      <c r="P324" t="s">
        <v>44</v>
      </c>
    </row>
    <row r="325" spans="1:16" x14ac:dyDescent="0.25">
      <c r="A325">
        <v>329</v>
      </c>
      <c r="B325" s="2">
        <v>43905.583333333336</v>
      </c>
      <c r="C325" s="2">
        <v>43906.34375</v>
      </c>
      <c r="D325">
        <v>2</v>
      </c>
      <c r="E325" t="s">
        <v>4</v>
      </c>
      <c r="F325" t="s">
        <v>10</v>
      </c>
      <c r="G325" t="s">
        <v>31</v>
      </c>
      <c r="H325">
        <v>61</v>
      </c>
      <c r="I325">
        <v>1.01</v>
      </c>
      <c r="J325">
        <v>0.52</v>
      </c>
      <c r="K325" t="s">
        <v>15</v>
      </c>
      <c r="L325">
        <v>159</v>
      </c>
      <c r="M325">
        <v>152</v>
      </c>
      <c r="N325">
        <v>64</v>
      </c>
      <c r="O325">
        <v>55</v>
      </c>
      <c r="P325" t="s">
        <v>44</v>
      </c>
    </row>
    <row r="326" spans="1:16" x14ac:dyDescent="0.25">
      <c r="A326">
        <v>330</v>
      </c>
      <c r="B326" s="2">
        <v>43898.5</v>
      </c>
      <c r="C326" s="2">
        <v>43906.599305555559</v>
      </c>
      <c r="D326">
        <v>2</v>
      </c>
      <c r="E326" t="s">
        <v>6</v>
      </c>
      <c r="F326" t="s">
        <v>10</v>
      </c>
      <c r="G326" t="s">
        <v>31</v>
      </c>
      <c r="H326">
        <v>72</v>
      </c>
      <c r="I326">
        <v>3.52</v>
      </c>
      <c r="J326">
        <v>1.25</v>
      </c>
      <c r="K326" t="s">
        <v>15</v>
      </c>
      <c r="L326">
        <v>74</v>
      </c>
      <c r="M326">
        <v>177</v>
      </c>
      <c r="N326">
        <v>90</v>
      </c>
      <c r="O326">
        <v>42</v>
      </c>
      <c r="P326" t="s">
        <v>46</v>
      </c>
    </row>
    <row r="327" spans="1:16" x14ac:dyDescent="0.25">
      <c r="A327">
        <v>331</v>
      </c>
      <c r="B327" s="2">
        <v>43905.666666666664</v>
      </c>
      <c r="C327" s="2">
        <v>43907.34652777778</v>
      </c>
      <c r="D327">
        <v>3</v>
      </c>
      <c r="E327" t="s">
        <v>4</v>
      </c>
      <c r="F327" t="s">
        <v>1</v>
      </c>
      <c r="G327" t="s">
        <v>23</v>
      </c>
      <c r="H327">
        <v>75</v>
      </c>
      <c r="I327">
        <v>16.46</v>
      </c>
      <c r="J327">
        <v>1.82</v>
      </c>
      <c r="K327" t="s">
        <v>15</v>
      </c>
      <c r="L327">
        <v>74</v>
      </c>
      <c r="M327">
        <v>165</v>
      </c>
      <c r="N327">
        <v>83</v>
      </c>
      <c r="O327">
        <v>55</v>
      </c>
      <c r="P327" t="s">
        <v>44</v>
      </c>
    </row>
    <row r="328" spans="1:16" x14ac:dyDescent="0.25">
      <c r="A328">
        <v>332</v>
      </c>
      <c r="B328" s="2">
        <v>43907.293749999997</v>
      </c>
      <c r="C328" s="2">
        <v>43907.347222222219</v>
      </c>
      <c r="D328">
        <v>2</v>
      </c>
      <c r="E328" t="s">
        <v>4</v>
      </c>
      <c r="F328" t="s">
        <v>11</v>
      </c>
      <c r="G328" t="s">
        <v>28</v>
      </c>
      <c r="H328">
        <v>84</v>
      </c>
      <c r="I328">
        <v>19.510000000000002</v>
      </c>
      <c r="J328">
        <v>15.66</v>
      </c>
      <c r="K328" t="s">
        <v>15</v>
      </c>
      <c r="L328">
        <v>102</v>
      </c>
      <c r="M328">
        <v>175</v>
      </c>
      <c r="N328">
        <v>107</v>
      </c>
      <c r="O328">
        <v>55</v>
      </c>
      <c r="P328" t="s">
        <v>44</v>
      </c>
    </row>
    <row r="329" spans="1:16" x14ac:dyDescent="0.25">
      <c r="A329">
        <v>333</v>
      </c>
      <c r="B329" s="2">
        <v>43905.645833333336</v>
      </c>
      <c r="C329" s="2">
        <v>43907.385416666664</v>
      </c>
      <c r="D329">
        <v>6</v>
      </c>
      <c r="E329" t="s">
        <v>6</v>
      </c>
      <c r="F329" t="s">
        <v>10</v>
      </c>
      <c r="G329" t="s">
        <v>21</v>
      </c>
      <c r="H329">
        <v>77</v>
      </c>
      <c r="I329">
        <v>22.08</v>
      </c>
      <c r="J329">
        <v>4.8499999999999996</v>
      </c>
      <c r="K329" t="s">
        <v>15</v>
      </c>
      <c r="L329">
        <v>73</v>
      </c>
      <c r="M329">
        <v>162</v>
      </c>
      <c r="N329">
        <v>70</v>
      </c>
      <c r="O329">
        <v>57</v>
      </c>
      <c r="P329" t="s">
        <v>44</v>
      </c>
    </row>
    <row r="330" spans="1:16" x14ac:dyDescent="0.25">
      <c r="A330">
        <v>334</v>
      </c>
      <c r="B330" s="2">
        <v>43907.458333333336</v>
      </c>
      <c r="C330" s="2">
        <v>43908.34375</v>
      </c>
      <c r="D330">
        <v>5</v>
      </c>
      <c r="E330" t="s">
        <v>6</v>
      </c>
      <c r="F330" t="s">
        <v>11</v>
      </c>
      <c r="G330" t="s">
        <v>35</v>
      </c>
      <c r="H330">
        <v>77</v>
      </c>
      <c r="I330">
        <v>2.87</v>
      </c>
      <c r="J330">
        <v>1.1100000000000001</v>
      </c>
      <c r="K330" t="s">
        <v>15</v>
      </c>
      <c r="L330">
        <v>79</v>
      </c>
      <c r="M330">
        <v>168</v>
      </c>
      <c r="N330">
        <v>74</v>
      </c>
      <c r="O330">
        <v>35</v>
      </c>
      <c r="P330" t="s">
        <v>46</v>
      </c>
    </row>
    <row r="331" spans="1:16" x14ac:dyDescent="0.25">
      <c r="A331">
        <v>335</v>
      </c>
      <c r="B331" s="2">
        <v>43893.4375</v>
      </c>
      <c r="C331" s="2">
        <v>43908.347916666666</v>
      </c>
      <c r="D331">
        <v>3</v>
      </c>
      <c r="E331" t="s">
        <v>6</v>
      </c>
      <c r="F331" t="s">
        <v>3</v>
      </c>
      <c r="G331" t="s">
        <v>30</v>
      </c>
      <c r="H331">
        <v>68</v>
      </c>
      <c r="I331">
        <v>5.56</v>
      </c>
      <c r="J331">
        <v>2.63</v>
      </c>
      <c r="K331" t="s">
        <v>15</v>
      </c>
      <c r="L331">
        <v>114</v>
      </c>
      <c r="M331">
        <v>177</v>
      </c>
      <c r="N331">
        <v>80</v>
      </c>
      <c r="O331">
        <v>52</v>
      </c>
      <c r="P331" t="s">
        <v>44</v>
      </c>
    </row>
    <row r="332" spans="1:16" x14ac:dyDescent="0.25">
      <c r="A332">
        <v>336</v>
      </c>
      <c r="B332" s="2">
        <v>43908.458333333336</v>
      </c>
      <c r="C332" s="2">
        <v>43909.418055555558</v>
      </c>
      <c r="D332">
        <v>3</v>
      </c>
      <c r="E332" t="s">
        <v>6</v>
      </c>
      <c r="F332" t="s">
        <v>11</v>
      </c>
      <c r="G332" t="s">
        <v>34</v>
      </c>
      <c r="H332">
        <v>59</v>
      </c>
      <c r="I332">
        <v>2.27</v>
      </c>
      <c r="J332">
        <v>1.49</v>
      </c>
      <c r="K332" t="s">
        <v>15</v>
      </c>
      <c r="L332">
        <v>89</v>
      </c>
      <c r="M332">
        <v>173</v>
      </c>
      <c r="N332">
        <v>80</v>
      </c>
      <c r="O332">
        <v>50</v>
      </c>
      <c r="P332" t="s">
        <v>46</v>
      </c>
    </row>
    <row r="333" spans="1:16" x14ac:dyDescent="0.25">
      <c r="A333">
        <v>337</v>
      </c>
      <c r="B333" s="2">
        <v>43908.458333333336</v>
      </c>
      <c r="C333" s="2">
        <v>43909.418749999997</v>
      </c>
      <c r="D333">
        <v>1</v>
      </c>
      <c r="E333" t="s">
        <v>4</v>
      </c>
      <c r="F333" t="s">
        <v>3</v>
      </c>
      <c r="G333" t="s">
        <v>24</v>
      </c>
      <c r="H333">
        <v>70</v>
      </c>
      <c r="I333">
        <v>1.82</v>
      </c>
      <c r="J333">
        <v>1.56</v>
      </c>
      <c r="K333" t="s">
        <v>15</v>
      </c>
      <c r="L333">
        <v>114</v>
      </c>
      <c r="M333">
        <v>168</v>
      </c>
      <c r="N333">
        <v>75</v>
      </c>
      <c r="O333">
        <v>65</v>
      </c>
      <c r="P333" t="s">
        <v>44</v>
      </c>
    </row>
    <row r="334" spans="1:16" x14ac:dyDescent="0.25">
      <c r="A334">
        <v>338</v>
      </c>
      <c r="B334" s="2">
        <v>43905.416666666664</v>
      </c>
      <c r="C334" s="2">
        <v>43909.465277777781</v>
      </c>
      <c r="D334">
        <v>5</v>
      </c>
      <c r="E334" t="s">
        <v>2</v>
      </c>
      <c r="F334" t="s">
        <v>10</v>
      </c>
      <c r="G334" t="s">
        <v>31</v>
      </c>
      <c r="H334">
        <v>74</v>
      </c>
      <c r="I334">
        <v>11.45</v>
      </c>
      <c r="J334">
        <v>6.12</v>
      </c>
      <c r="K334" t="s">
        <v>15</v>
      </c>
      <c r="L334">
        <v>74</v>
      </c>
      <c r="M334">
        <v>172</v>
      </c>
      <c r="N334">
        <v>98</v>
      </c>
      <c r="O334">
        <v>50</v>
      </c>
      <c r="P334" t="s">
        <v>46</v>
      </c>
    </row>
    <row r="335" spans="1:16" x14ac:dyDescent="0.25">
      <c r="A335">
        <v>339</v>
      </c>
      <c r="B335" s="2">
        <v>43903.292361111111</v>
      </c>
      <c r="C335" s="2">
        <v>43909.611111111109</v>
      </c>
      <c r="D335">
        <v>6</v>
      </c>
      <c r="E335" t="s">
        <v>6</v>
      </c>
      <c r="F335" t="s">
        <v>10</v>
      </c>
      <c r="G335" t="s">
        <v>31</v>
      </c>
      <c r="H335">
        <v>78</v>
      </c>
      <c r="I335">
        <v>6.7</v>
      </c>
      <c r="J335">
        <v>1.71</v>
      </c>
      <c r="K335" t="s">
        <v>15</v>
      </c>
      <c r="L335">
        <v>95</v>
      </c>
      <c r="M335">
        <v>172</v>
      </c>
      <c r="N335">
        <v>100</v>
      </c>
      <c r="O335">
        <v>20</v>
      </c>
      <c r="P335" t="s">
        <v>47</v>
      </c>
    </row>
    <row r="336" spans="1:16" x14ac:dyDescent="0.25">
      <c r="A336">
        <v>340</v>
      </c>
      <c r="B336" s="2">
        <v>43907.590277777781</v>
      </c>
      <c r="C336" s="2">
        <v>43910.34375</v>
      </c>
      <c r="D336">
        <v>3</v>
      </c>
      <c r="E336" t="s">
        <v>6</v>
      </c>
      <c r="F336" t="s">
        <v>10</v>
      </c>
      <c r="G336" t="s">
        <v>21</v>
      </c>
      <c r="H336">
        <v>71</v>
      </c>
      <c r="I336">
        <v>1.94</v>
      </c>
      <c r="J336">
        <v>1.63</v>
      </c>
      <c r="K336" t="s">
        <v>15</v>
      </c>
      <c r="L336">
        <v>108</v>
      </c>
      <c r="M336">
        <v>171</v>
      </c>
      <c r="N336">
        <v>80</v>
      </c>
      <c r="O336">
        <v>57</v>
      </c>
      <c r="P336" t="s">
        <v>44</v>
      </c>
    </row>
    <row r="337" spans="1:16" x14ac:dyDescent="0.25">
      <c r="A337">
        <v>341</v>
      </c>
      <c r="B337" s="2">
        <v>43886.708333333336</v>
      </c>
      <c r="C337" s="2">
        <v>43910.347222222219</v>
      </c>
      <c r="D337">
        <v>5</v>
      </c>
      <c r="E337" t="s">
        <v>6</v>
      </c>
      <c r="F337" t="s">
        <v>3</v>
      </c>
      <c r="G337" t="s">
        <v>35</v>
      </c>
      <c r="H337">
        <v>71</v>
      </c>
      <c r="I337">
        <v>3.29</v>
      </c>
      <c r="J337">
        <v>0.94</v>
      </c>
      <c r="K337" t="s">
        <v>15</v>
      </c>
      <c r="L337">
        <v>124</v>
      </c>
      <c r="M337">
        <v>160</v>
      </c>
      <c r="N337">
        <v>78</v>
      </c>
      <c r="O337">
        <v>57</v>
      </c>
      <c r="P337" t="s">
        <v>44</v>
      </c>
    </row>
    <row r="338" spans="1:16" x14ac:dyDescent="0.25">
      <c r="A338">
        <v>342</v>
      </c>
      <c r="B338" s="2">
        <v>43900.416666666664</v>
      </c>
      <c r="C338" s="2">
        <v>43910.678472222222</v>
      </c>
      <c r="D338">
        <v>5</v>
      </c>
      <c r="E338" t="s">
        <v>2</v>
      </c>
      <c r="F338" t="s">
        <v>10</v>
      </c>
      <c r="G338" t="s">
        <v>24</v>
      </c>
      <c r="H338">
        <v>77</v>
      </c>
      <c r="I338">
        <v>26.09</v>
      </c>
      <c r="J338">
        <v>4.38</v>
      </c>
      <c r="K338" t="s">
        <v>15</v>
      </c>
      <c r="L338">
        <v>71</v>
      </c>
      <c r="M338">
        <v>182</v>
      </c>
      <c r="N338">
        <v>95</v>
      </c>
      <c r="O338">
        <v>55</v>
      </c>
      <c r="P338" t="s">
        <v>44</v>
      </c>
    </row>
    <row r="339" spans="1:16" x14ac:dyDescent="0.25">
      <c r="A339">
        <v>343</v>
      </c>
      <c r="B339" s="2">
        <v>43910.370833333334</v>
      </c>
      <c r="C339" s="2">
        <v>43912.520833333336</v>
      </c>
      <c r="D339">
        <v>5</v>
      </c>
      <c r="E339" t="s">
        <v>2</v>
      </c>
      <c r="F339" t="s">
        <v>1</v>
      </c>
      <c r="G339" t="s">
        <v>23</v>
      </c>
      <c r="H339">
        <v>61</v>
      </c>
      <c r="I339">
        <v>36.94</v>
      </c>
      <c r="J339">
        <v>5.01</v>
      </c>
      <c r="K339" t="s">
        <v>15</v>
      </c>
      <c r="L339">
        <v>67</v>
      </c>
      <c r="M339">
        <v>177</v>
      </c>
      <c r="N339">
        <v>77</v>
      </c>
      <c r="O339">
        <v>56</v>
      </c>
      <c r="P339" t="s">
        <v>44</v>
      </c>
    </row>
    <row r="340" spans="1:16" x14ac:dyDescent="0.25">
      <c r="A340">
        <v>344</v>
      </c>
      <c r="B340" s="2">
        <v>43912.5625</v>
      </c>
      <c r="C340" s="2">
        <v>43913.352083333331</v>
      </c>
      <c r="D340">
        <v>3</v>
      </c>
      <c r="E340" t="s">
        <v>6</v>
      </c>
      <c r="F340" t="s">
        <v>7</v>
      </c>
      <c r="G340" t="s">
        <v>30</v>
      </c>
      <c r="H340">
        <v>70</v>
      </c>
      <c r="I340">
        <v>6.13</v>
      </c>
      <c r="J340">
        <v>2.41</v>
      </c>
      <c r="K340" t="s">
        <v>15</v>
      </c>
      <c r="L340">
        <v>98</v>
      </c>
      <c r="M340">
        <v>174</v>
      </c>
      <c r="N340">
        <v>91</v>
      </c>
      <c r="O340">
        <v>56</v>
      </c>
      <c r="P340" t="s">
        <v>44</v>
      </c>
    </row>
    <row r="341" spans="1:16" x14ac:dyDescent="0.25">
      <c r="A341">
        <v>345</v>
      </c>
      <c r="B341" s="2">
        <v>43903.416666666664</v>
      </c>
      <c r="C341" s="2">
        <v>43913.5</v>
      </c>
      <c r="D341">
        <v>3</v>
      </c>
      <c r="E341" t="s">
        <v>4</v>
      </c>
      <c r="F341" t="s">
        <v>10</v>
      </c>
      <c r="G341" t="s">
        <v>33</v>
      </c>
      <c r="H341">
        <v>76</v>
      </c>
      <c r="I341">
        <v>21.59</v>
      </c>
      <c r="J341">
        <v>4.59</v>
      </c>
      <c r="K341" t="s">
        <v>15</v>
      </c>
      <c r="L341">
        <v>113</v>
      </c>
      <c r="M341">
        <v>156</v>
      </c>
      <c r="N341">
        <v>72</v>
      </c>
      <c r="O341">
        <v>59</v>
      </c>
      <c r="P341" t="s">
        <v>44</v>
      </c>
    </row>
    <row r="342" spans="1:16" x14ac:dyDescent="0.25">
      <c r="A342">
        <v>346</v>
      </c>
      <c r="B342" s="2">
        <v>43895.581944444442</v>
      </c>
      <c r="C342" s="2">
        <v>43914.345138888886</v>
      </c>
      <c r="D342">
        <v>3</v>
      </c>
      <c r="E342" t="s">
        <v>6</v>
      </c>
      <c r="F342" t="s">
        <v>11</v>
      </c>
      <c r="G342" t="s">
        <v>31</v>
      </c>
      <c r="H342">
        <v>81</v>
      </c>
      <c r="I342">
        <v>13.72</v>
      </c>
      <c r="J342">
        <v>5.71</v>
      </c>
      <c r="K342" t="s">
        <v>15</v>
      </c>
      <c r="L342">
        <v>72</v>
      </c>
      <c r="M342">
        <v>180</v>
      </c>
      <c r="N342">
        <v>127</v>
      </c>
      <c r="O342">
        <v>50</v>
      </c>
      <c r="P342" t="s">
        <v>46</v>
      </c>
    </row>
    <row r="343" spans="1:16" x14ac:dyDescent="0.25">
      <c r="A343">
        <v>347</v>
      </c>
      <c r="B343" s="2">
        <v>43913.451388888891</v>
      </c>
      <c r="C343" s="2">
        <v>43914.541666666664</v>
      </c>
      <c r="D343">
        <v>5</v>
      </c>
      <c r="E343" t="s">
        <v>4</v>
      </c>
      <c r="F343" t="s">
        <v>10</v>
      </c>
      <c r="G343" t="s">
        <v>24</v>
      </c>
      <c r="H343">
        <v>63</v>
      </c>
      <c r="I343">
        <v>2.96</v>
      </c>
      <c r="J343">
        <v>1.37</v>
      </c>
      <c r="K343" t="s">
        <v>15</v>
      </c>
      <c r="L343">
        <v>90</v>
      </c>
      <c r="M343">
        <v>169</v>
      </c>
      <c r="N343">
        <v>113</v>
      </c>
      <c r="O343">
        <v>55</v>
      </c>
      <c r="P343" t="s">
        <v>44</v>
      </c>
    </row>
    <row r="344" spans="1:16" x14ac:dyDescent="0.25">
      <c r="A344">
        <v>348</v>
      </c>
      <c r="B344" s="2">
        <v>43907.458333333336</v>
      </c>
      <c r="C344" s="2">
        <v>43915.331944444442</v>
      </c>
      <c r="D344">
        <v>5</v>
      </c>
      <c r="E344" t="s">
        <v>6</v>
      </c>
      <c r="F344" t="s">
        <v>3</v>
      </c>
      <c r="G344" t="s">
        <v>28</v>
      </c>
      <c r="H344">
        <v>68</v>
      </c>
      <c r="I344">
        <v>7.73</v>
      </c>
      <c r="J344">
        <v>2.38</v>
      </c>
      <c r="K344" t="s">
        <v>15</v>
      </c>
      <c r="L344">
        <v>80</v>
      </c>
      <c r="M344">
        <v>175</v>
      </c>
      <c r="N344">
        <v>68</v>
      </c>
      <c r="O344">
        <v>60</v>
      </c>
      <c r="P344" t="s">
        <v>44</v>
      </c>
    </row>
    <row r="345" spans="1:16" x14ac:dyDescent="0.25">
      <c r="A345">
        <v>349</v>
      </c>
      <c r="B345" s="2">
        <v>43914.583333333336</v>
      </c>
      <c r="C345" s="2">
        <v>43915.357638888891</v>
      </c>
      <c r="D345">
        <v>3</v>
      </c>
      <c r="E345" t="s">
        <v>4</v>
      </c>
      <c r="F345" t="s">
        <v>3</v>
      </c>
      <c r="G345" t="s">
        <v>35</v>
      </c>
      <c r="H345">
        <v>83</v>
      </c>
      <c r="I345">
        <v>9.52</v>
      </c>
      <c r="J345">
        <v>1.2</v>
      </c>
      <c r="K345" t="s">
        <v>15</v>
      </c>
      <c r="L345">
        <v>105</v>
      </c>
      <c r="M345">
        <v>172</v>
      </c>
      <c r="N345">
        <v>80</v>
      </c>
      <c r="O345">
        <v>55</v>
      </c>
      <c r="P345" t="s">
        <v>44</v>
      </c>
    </row>
    <row r="346" spans="1:16" x14ac:dyDescent="0.25">
      <c r="A346">
        <v>350</v>
      </c>
      <c r="B346" s="2">
        <v>43909.715277777781</v>
      </c>
      <c r="C346" s="2">
        <v>43916.347222222219</v>
      </c>
      <c r="D346">
        <v>3</v>
      </c>
      <c r="E346" t="s">
        <v>6</v>
      </c>
      <c r="F346" t="s">
        <v>3</v>
      </c>
      <c r="G346" t="s">
        <v>33</v>
      </c>
      <c r="H346">
        <v>74</v>
      </c>
      <c r="I346">
        <v>14.68</v>
      </c>
      <c r="J346">
        <v>5.43</v>
      </c>
      <c r="K346" t="s">
        <v>15</v>
      </c>
      <c r="L346">
        <v>88</v>
      </c>
      <c r="M346">
        <v>177</v>
      </c>
      <c r="N346">
        <v>88</v>
      </c>
      <c r="O346">
        <v>45</v>
      </c>
      <c r="P346" t="s">
        <v>46</v>
      </c>
    </row>
    <row r="347" spans="1:16" x14ac:dyDescent="0.25">
      <c r="A347">
        <v>351</v>
      </c>
      <c r="B347" s="2">
        <v>43910.336805555555</v>
      </c>
      <c r="C347" s="2">
        <v>43916.353472222225</v>
      </c>
      <c r="D347">
        <v>5</v>
      </c>
      <c r="E347" t="s">
        <v>6</v>
      </c>
      <c r="F347" t="s">
        <v>7</v>
      </c>
      <c r="G347" t="s">
        <v>21</v>
      </c>
      <c r="H347">
        <v>73</v>
      </c>
      <c r="I347">
        <v>5.33</v>
      </c>
      <c r="J347">
        <v>3.46</v>
      </c>
      <c r="K347" t="s">
        <v>15</v>
      </c>
      <c r="L347">
        <v>73</v>
      </c>
      <c r="M347">
        <v>173</v>
      </c>
      <c r="N347">
        <v>89</v>
      </c>
      <c r="O347">
        <v>60</v>
      </c>
      <c r="P347" t="s">
        <v>44</v>
      </c>
    </row>
    <row r="348" spans="1:16" x14ac:dyDescent="0.25">
      <c r="A348">
        <v>352</v>
      </c>
      <c r="B348" s="2">
        <v>43915.458333333336</v>
      </c>
      <c r="C348" s="2">
        <v>43916.559027777781</v>
      </c>
      <c r="D348">
        <v>3</v>
      </c>
      <c r="E348" t="s">
        <v>4</v>
      </c>
      <c r="F348" t="s">
        <v>1</v>
      </c>
      <c r="G348" t="s">
        <v>33</v>
      </c>
      <c r="H348">
        <v>52</v>
      </c>
      <c r="I348">
        <v>23.88</v>
      </c>
      <c r="J348">
        <v>9.1999999999999993</v>
      </c>
      <c r="K348" t="s">
        <v>15</v>
      </c>
      <c r="L348">
        <v>128</v>
      </c>
      <c r="M348">
        <v>175</v>
      </c>
      <c r="N348">
        <v>84</v>
      </c>
      <c r="O348">
        <v>48</v>
      </c>
      <c r="P348" t="s">
        <v>46</v>
      </c>
    </row>
    <row r="349" spans="1:16" x14ac:dyDescent="0.25">
      <c r="A349">
        <v>353</v>
      </c>
      <c r="B349" s="2">
        <v>43916.559027777781</v>
      </c>
      <c r="C349" s="2">
        <v>43916.762499999997</v>
      </c>
      <c r="D349">
        <v>5</v>
      </c>
      <c r="E349" t="s">
        <v>2</v>
      </c>
      <c r="F349" t="s">
        <v>3</v>
      </c>
      <c r="G349" t="s">
        <v>31</v>
      </c>
      <c r="H349">
        <v>55</v>
      </c>
      <c r="I349">
        <v>64.930000000000007</v>
      </c>
      <c r="J349">
        <v>34.299999999999997</v>
      </c>
      <c r="K349" t="s">
        <v>13</v>
      </c>
      <c r="L349">
        <v>77</v>
      </c>
      <c r="M349">
        <v>169</v>
      </c>
      <c r="N349">
        <v>77</v>
      </c>
      <c r="O349">
        <v>16</v>
      </c>
      <c r="P349" t="s">
        <v>47</v>
      </c>
    </row>
    <row r="350" spans="1:16" x14ac:dyDescent="0.25">
      <c r="A350">
        <v>354</v>
      </c>
      <c r="B350" s="2">
        <v>43915.429166666669</v>
      </c>
      <c r="C350" s="2">
        <v>43917.374305555553</v>
      </c>
      <c r="D350">
        <v>5</v>
      </c>
      <c r="E350" t="s">
        <v>2</v>
      </c>
      <c r="F350" t="s">
        <v>10</v>
      </c>
      <c r="G350" t="s">
        <v>31</v>
      </c>
      <c r="H350">
        <v>71</v>
      </c>
      <c r="I350">
        <v>14.97</v>
      </c>
      <c r="J350">
        <v>5.27</v>
      </c>
      <c r="K350" t="s">
        <v>15</v>
      </c>
      <c r="L350">
        <v>86</v>
      </c>
      <c r="M350">
        <v>162</v>
      </c>
      <c r="N350">
        <v>91</v>
      </c>
      <c r="O350">
        <v>50</v>
      </c>
      <c r="P350" t="s">
        <v>46</v>
      </c>
    </row>
    <row r="351" spans="1:16" x14ac:dyDescent="0.25">
      <c r="A351">
        <v>355</v>
      </c>
      <c r="B351" s="2">
        <v>43916.43472222222</v>
      </c>
      <c r="C351" s="2">
        <v>43917.570138888892</v>
      </c>
      <c r="D351">
        <v>3</v>
      </c>
      <c r="E351" t="s">
        <v>6</v>
      </c>
      <c r="F351" t="s">
        <v>11</v>
      </c>
      <c r="G351" t="s">
        <v>24</v>
      </c>
      <c r="H351">
        <v>70</v>
      </c>
      <c r="I351">
        <v>4.6100000000000003</v>
      </c>
      <c r="J351">
        <v>2.7</v>
      </c>
      <c r="K351" t="s">
        <v>15</v>
      </c>
      <c r="L351">
        <v>112</v>
      </c>
      <c r="M351">
        <v>169</v>
      </c>
      <c r="N351">
        <v>69</v>
      </c>
      <c r="O351">
        <v>70</v>
      </c>
      <c r="P351" t="s">
        <v>44</v>
      </c>
    </row>
    <row r="352" spans="1:16" x14ac:dyDescent="0.25">
      <c r="A352">
        <v>356</v>
      </c>
      <c r="B352" s="2">
        <v>43905.375</v>
      </c>
      <c r="C352" s="2">
        <v>43917.611111111109</v>
      </c>
      <c r="D352">
        <v>5</v>
      </c>
      <c r="E352" t="s">
        <v>6</v>
      </c>
      <c r="F352" t="s">
        <v>10</v>
      </c>
      <c r="G352" t="s">
        <v>31</v>
      </c>
      <c r="H352">
        <v>81</v>
      </c>
      <c r="I352">
        <v>6.23</v>
      </c>
      <c r="J352">
        <v>1.45</v>
      </c>
      <c r="K352" t="s">
        <v>15</v>
      </c>
      <c r="L352">
        <v>74</v>
      </c>
      <c r="M352">
        <v>165</v>
      </c>
      <c r="N352">
        <v>100</v>
      </c>
      <c r="O352">
        <v>29</v>
      </c>
      <c r="P352" t="s">
        <v>45</v>
      </c>
    </row>
    <row r="353" spans="1:16" x14ac:dyDescent="0.25">
      <c r="A353">
        <v>357</v>
      </c>
      <c r="B353" s="2">
        <v>43919.458333333336</v>
      </c>
      <c r="C353" s="2">
        <v>43920.385416666664</v>
      </c>
      <c r="D353">
        <v>3</v>
      </c>
      <c r="E353" t="s">
        <v>6</v>
      </c>
      <c r="F353" t="s">
        <v>10</v>
      </c>
      <c r="G353" t="s">
        <v>23</v>
      </c>
      <c r="H353">
        <v>61</v>
      </c>
      <c r="I353">
        <v>1.72</v>
      </c>
      <c r="J353">
        <v>0.92</v>
      </c>
      <c r="K353" t="s">
        <v>15</v>
      </c>
      <c r="L353">
        <v>102</v>
      </c>
      <c r="M353">
        <v>149</v>
      </c>
      <c r="N353">
        <v>58</v>
      </c>
      <c r="O353">
        <v>48</v>
      </c>
      <c r="P353" t="s">
        <v>46</v>
      </c>
    </row>
    <row r="354" spans="1:16" x14ac:dyDescent="0.25">
      <c r="A354">
        <v>358</v>
      </c>
      <c r="B354" s="2">
        <v>43917.583333333336</v>
      </c>
      <c r="C354" s="2">
        <v>43920.39166666667</v>
      </c>
      <c r="D354">
        <v>5</v>
      </c>
      <c r="E354" t="s">
        <v>6</v>
      </c>
      <c r="F354" t="s">
        <v>3</v>
      </c>
      <c r="G354" t="s">
        <v>28</v>
      </c>
      <c r="H354">
        <v>62</v>
      </c>
      <c r="I354">
        <v>5.32</v>
      </c>
      <c r="J354">
        <v>2.2999999999999998</v>
      </c>
      <c r="K354" t="s">
        <v>13</v>
      </c>
      <c r="L354">
        <v>69</v>
      </c>
      <c r="M354">
        <v>173</v>
      </c>
      <c r="N354">
        <v>103</v>
      </c>
      <c r="O354">
        <v>60</v>
      </c>
      <c r="P354" t="s">
        <v>44</v>
      </c>
    </row>
    <row r="355" spans="1:16" x14ac:dyDescent="0.25">
      <c r="A355">
        <v>359</v>
      </c>
      <c r="B355" s="2">
        <v>43919.458333333336</v>
      </c>
      <c r="C355" s="2">
        <v>43920.629861111112</v>
      </c>
      <c r="D355">
        <v>3</v>
      </c>
      <c r="E355" t="s">
        <v>6</v>
      </c>
      <c r="F355" t="s">
        <v>3</v>
      </c>
      <c r="G355" t="s">
        <v>23</v>
      </c>
      <c r="H355">
        <v>62</v>
      </c>
      <c r="I355">
        <v>5.28</v>
      </c>
      <c r="J355">
        <v>2.16</v>
      </c>
      <c r="K355" t="s">
        <v>15</v>
      </c>
      <c r="L355">
        <v>124</v>
      </c>
      <c r="M355">
        <v>160</v>
      </c>
      <c r="N355">
        <v>80</v>
      </c>
      <c r="O355">
        <v>60</v>
      </c>
      <c r="P355" t="s">
        <v>44</v>
      </c>
    </row>
    <row r="356" spans="1:16" x14ac:dyDescent="0.25">
      <c r="A356">
        <v>360</v>
      </c>
      <c r="B356" s="2">
        <v>43920.458333333336</v>
      </c>
      <c r="C356" s="2">
        <v>43921.435416666667</v>
      </c>
      <c r="D356">
        <v>5</v>
      </c>
      <c r="E356" t="s">
        <v>6</v>
      </c>
      <c r="F356" t="s">
        <v>10</v>
      </c>
      <c r="G356" t="s">
        <v>35</v>
      </c>
      <c r="H356">
        <v>73</v>
      </c>
      <c r="I356">
        <v>2.21</v>
      </c>
      <c r="J356">
        <v>1.49</v>
      </c>
      <c r="K356" t="s">
        <v>13</v>
      </c>
      <c r="L356">
        <v>77</v>
      </c>
      <c r="M356">
        <v>162</v>
      </c>
      <c r="N356">
        <v>64</v>
      </c>
      <c r="O356">
        <v>60</v>
      </c>
      <c r="P356" t="s">
        <v>44</v>
      </c>
    </row>
    <row r="357" spans="1:16" x14ac:dyDescent="0.25">
      <c r="A357">
        <v>361</v>
      </c>
      <c r="B357" s="2">
        <v>43920.561805555553</v>
      </c>
      <c r="C357" s="2">
        <v>43921.435416666667</v>
      </c>
      <c r="D357">
        <v>3</v>
      </c>
      <c r="E357" t="s">
        <v>6</v>
      </c>
      <c r="F357" t="s">
        <v>10</v>
      </c>
      <c r="G357" t="s">
        <v>29</v>
      </c>
      <c r="H357">
        <v>80</v>
      </c>
      <c r="I357">
        <v>5.85</v>
      </c>
      <c r="J357">
        <v>1.56</v>
      </c>
      <c r="K357" t="s">
        <v>15</v>
      </c>
      <c r="L357">
        <v>104</v>
      </c>
      <c r="M357">
        <v>171</v>
      </c>
      <c r="N357">
        <v>100</v>
      </c>
      <c r="O357">
        <v>52</v>
      </c>
      <c r="P357" t="s">
        <v>44</v>
      </c>
    </row>
    <row r="358" spans="1:16" x14ac:dyDescent="0.25">
      <c r="A358">
        <v>362</v>
      </c>
      <c r="B358" s="2">
        <v>43920.444444444445</v>
      </c>
      <c r="C358" s="2">
        <v>43921.663194444445</v>
      </c>
      <c r="D358">
        <v>3</v>
      </c>
      <c r="E358" t="s">
        <v>6</v>
      </c>
      <c r="F358" t="s">
        <v>10</v>
      </c>
      <c r="G358" t="s">
        <v>29</v>
      </c>
      <c r="H358">
        <v>50</v>
      </c>
      <c r="I358">
        <v>2.15</v>
      </c>
      <c r="J358">
        <v>2.5</v>
      </c>
      <c r="K358" t="s">
        <v>15</v>
      </c>
      <c r="L358">
        <v>73</v>
      </c>
      <c r="M358">
        <v>154</v>
      </c>
      <c r="N358">
        <v>108</v>
      </c>
      <c r="O358">
        <v>60</v>
      </c>
      <c r="P358" t="s">
        <v>44</v>
      </c>
    </row>
    <row r="359" spans="1:16" x14ac:dyDescent="0.25">
      <c r="A359">
        <v>363</v>
      </c>
      <c r="B359" s="2">
        <v>43917.318749999999</v>
      </c>
      <c r="C359" s="2">
        <v>43922.381944444445</v>
      </c>
      <c r="D359">
        <v>3</v>
      </c>
      <c r="E359" t="s">
        <v>6</v>
      </c>
      <c r="F359" t="s">
        <v>10</v>
      </c>
      <c r="G359" t="s">
        <v>30</v>
      </c>
      <c r="H359">
        <v>48</v>
      </c>
      <c r="I359">
        <v>1.54</v>
      </c>
      <c r="J359">
        <v>1.1499999999999999</v>
      </c>
      <c r="K359" t="s">
        <v>15</v>
      </c>
      <c r="L359">
        <v>86</v>
      </c>
      <c r="M359">
        <v>172</v>
      </c>
      <c r="N359">
        <v>79</v>
      </c>
      <c r="O359">
        <v>62</v>
      </c>
      <c r="P359" t="s">
        <v>44</v>
      </c>
    </row>
    <row r="360" spans="1:16" x14ac:dyDescent="0.25">
      <c r="A360">
        <v>364</v>
      </c>
      <c r="B360" s="2">
        <v>43898.541666666664</v>
      </c>
      <c r="C360" s="2">
        <v>43922.631249999999</v>
      </c>
      <c r="D360">
        <v>3</v>
      </c>
      <c r="E360" t="s">
        <v>6</v>
      </c>
      <c r="F360" t="s">
        <v>11</v>
      </c>
      <c r="G360" t="s">
        <v>30</v>
      </c>
      <c r="H360">
        <v>83</v>
      </c>
      <c r="I360">
        <v>11.55</v>
      </c>
      <c r="J360">
        <v>4.66</v>
      </c>
      <c r="K360" t="s">
        <v>15</v>
      </c>
      <c r="L360">
        <v>72</v>
      </c>
      <c r="M360">
        <v>173</v>
      </c>
      <c r="N360">
        <v>90</v>
      </c>
      <c r="O360">
        <v>48</v>
      </c>
      <c r="P360" t="s">
        <v>46</v>
      </c>
    </row>
    <row r="361" spans="1:16" x14ac:dyDescent="0.25">
      <c r="A361">
        <v>365</v>
      </c>
      <c r="B361" s="2">
        <v>43919.458333333336</v>
      </c>
      <c r="C361" s="2">
        <v>43923.385416666664</v>
      </c>
      <c r="D361">
        <v>5</v>
      </c>
      <c r="E361" t="s">
        <v>6</v>
      </c>
      <c r="F361" t="s">
        <v>10</v>
      </c>
      <c r="G361" t="s">
        <v>32</v>
      </c>
      <c r="H361">
        <v>73</v>
      </c>
      <c r="I361">
        <v>5.15</v>
      </c>
      <c r="J361">
        <v>2.15</v>
      </c>
      <c r="K361" t="s">
        <v>15</v>
      </c>
      <c r="L361">
        <v>68</v>
      </c>
      <c r="M361">
        <v>195</v>
      </c>
      <c r="N361">
        <v>105</v>
      </c>
      <c r="O361">
        <v>38</v>
      </c>
      <c r="P361" t="s">
        <v>46</v>
      </c>
    </row>
    <row r="362" spans="1:16" x14ac:dyDescent="0.25">
      <c r="A362">
        <v>366</v>
      </c>
      <c r="B362" s="2">
        <v>43922.458333333336</v>
      </c>
      <c r="C362" s="2">
        <v>43923.402777777781</v>
      </c>
      <c r="D362">
        <v>1</v>
      </c>
      <c r="E362" t="s">
        <v>6</v>
      </c>
      <c r="F362" t="s">
        <v>10</v>
      </c>
      <c r="G362" t="s">
        <v>33</v>
      </c>
      <c r="H362">
        <v>54</v>
      </c>
      <c r="I362">
        <v>2.2799999999999998</v>
      </c>
      <c r="J362">
        <v>1.87</v>
      </c>
      <c r="K362" t="s">
        <v>15</v>
      </c>
      <c r="L362">
        <v>140</v>
      </c>
      <c r="M362">
        <v>160</v>
      </c>
      <c r="N362">
        <v>59</v>
      </c>
      <c r="O362">
        <v>67</v>
      </c>
      <c r="P362" t="s">
        <v>44</v>
      </c>
    </row>
    <row r="363" spans="1:16" x14ac:dyDescent="0.25">
      <c r="A363">
        <v>367</v>
      </c>
      <c r="B363" s="2">
        <v>43911.583333333336</v>
      </c>
      <c r="C363" s="2">
        <v>43924.597222222219</v>
      </c>
      <c r="D363">
        <v>3</v>
      </c>
      <c r="E363" t="s">
        <v>6</v>
      </c>
      <c r="F363" t="s">
        <v>10</v>
      </c>
      <c r="G363" t="s">
        <v>31</v>
      </c>
      <c r="H363">
        <v>56</v>
      </c>
      <c r="I363">
        <v>0.88</v>
      </c>
      <c r="J363">
        <v>0.69</v>
      </c>
      <c r="K363" t="s">
        <v>15</v>
      </c>
      <c r="L363">
        <v>70</v>
      </c>
      <c r="M363">
        <v>160</v>
      </c>
      <c r="N363">
        <v>78</v>
      </c>
      <c r="O363">
        <v>60</v>
      </c>
      <c r="P363" t="s">
        <v>44</v>
      </c>
    </row>
    <row r="364" spans="1:16" x14ac:dyDescent="0.25">
      <c r="A364">
        <v>368</v>
      </c>
      <c r="B364" s="2">
        <v>43926.9375</v>
      </c>
      <c r="C364" s="2">
        <v>43927.337500000001</v>
      </c>
      <c r="D364">
        <v>5</v>
      </c>
      <c r="E364" t="s">
        <v>2</v>
      </c>
      <c r="F364" t="s">
        <v>5</v>
      </c>
      <c r="G364" t="s">
        <v>30</v>
      </c>
      <c r="H364">
        <v>65</v>
      </c>
      <c r="I364">
        <v>23.2</v>
      </c>
      <c r="J364">
        <v>21.94</v>
      </c>
      <c r="K364" t="s">
        <v>15</v>
      </c>
      <c r="L364">
        <v>119</v>
      </c>
      <c r="M364">
        <v>160</v>
      </c>
      <c r="N364">
        <v>80</v>
      </c>
      <c r="O364">
        <v>55</v>
      </c>
      <c r="P364" t="s">
        <v>44</v>
      </c>
    </row>
    <row r="365" spans="1:16" x14ac:dyDescent="0.25">
      <c r="A365">
        <v>369</v>
      </c>
      <c r="B365" s="2">
        <v>43924.291666666664</v>
      </c>
      <c r="C365" s="2">
        <v>43927.368055555555</v>
      </c>
      <c r="D365">
        <v>3</v>
      </c>
      <c r="E365" t="s">
        <v>4</v>
      </c>
      <c r="F365" t="s">
        <v>11</v>
      </c>
      <c r="G365" t="s">
        <v>23</v>
      </c>
      <c r="H365">
        <v>76</v>
      </c>
      <c r="I365">
        <v>6.73</v>
      </c>
      <c r="J365">
        <v>6.95</v>
      </c>
      <c r="K365" t="s">
        <v>15</v>
      </c>
      <c r="L365">
        <v>130</v>
      </c>
      <c r="M365">
        <v>170</v>
      </c>
      <c r="N365">
        <v>57</v>
      </c>
      <c r="O365">
        <v>18</v>
      </c>
      <c r="P365" t="s">
        <v>47</v>
      </c>
    </row>
    <row r="366" spans="1:16" x14ac:dyDescent="0.25">
      <c r="A366">
        <v>371</v>
      </c>
      <c r="B366" s="2">
        <v>43921.416666666664</v>
      </c>
      <c r="C366" s="2">
        <v>43928.385416666664</v>
      </c>
      <c r="D366">
        <v>3</v>
      </c>
      <c r="E366" t="s">
        <v>6</v>
      </c>
      <c r="F366" t="s">
        <v>11</v>
      </c>
      <c r="G366" t="s">
        <v>32</v>
      </c>
      <c r="H366">
        <v>64</v>
      </c>
      <c r="I366">
        <v>5.3</v>
      </c>
      <c r="J366">
        <v>8.31</v>
      </c>
      <c r="K366" t="s">
        <v>15</v>
      </c>
      <c r="L366">
        <v>100</v>
      </c>
      <c r="M366">
        <v>173</v>
      </c>
      <c r="N366">
        <v>77</v>
      </c>
      <c r="O366">
        <v>60</v>
      </c>
      <c r="P366" t="s">
        <v>44</v>
      </c>
    </row>
    <row r="367" spans="1:16" x14ac:dyDescent="0.25">
      <c r="A367">
        <v>372</v>
      </c>
      <c r="B367" s="2">
        <v>43906.416666666664</v>
      </c>
      <c r="C367" s="2">
        <v>43928.600694444445</v>
      </c>
      <c r="D367">
        <v>4</v>
      </c>
      <c r="E367" t="s">
        <v>6</v>
      </c>
      <c r="F367" t="s">
        <v>3</v>
      </c>
      <c r="G367" t="s">
        <v>32</v>
      </c>
      <c r="H367">
        <v>67</v>
      </c>
      <c r="I367">
        <v>5.6</v>
      </c>
      <c r="J367">
        <v>2.1800000000000002</v>
      </c>
      <c r="K367" t="s">
        <v>15</v>
      </c>
      <c r="L367">
        <v>109</v>
      </c>
      <c r="M367">
        <v>163</v>
      </c>
      <c r="N367">
        <v>79</v>
      </c>
      <c r="O367">
        <v>50</v>
      </c>
      <c r="P367" t="s">
        <v>46</v>
      </c>
    </row>
    <row r="368" spans="1:16" x14ac:dyDescent="0.25">
      <c r="A368">
        <v>373</v>
      </c>
      <c r="B368" s="2">
        <v>43928.458333333336</v>
      </c>
      <c r="C368" s="2">
        <v>43929.480555555558</v>
      </c>
      <c r="D368">
        <v>3</v>
      </c>
      <c r="E368" t="s">
        <v>6</v>
      </c>
      <c r="F368" t="s">
        <v>3</v>
      </c>
      <c r="G368" t="s">
        <v>35</v>
      </c>
      <c r="H368">
        <v>74</v>
      </c>
      <c r="I368">
        <v>3.99</v>
      </c>
      <c r="J368">
        <v>1.02</v>
      </c>
      <c r="K368" t="s">
        <v>15</v>
      </c>
      <c r="L368">
        <v>124</v>
      </c>
      <c r="M368">
        <v>175</v>
      </c>
      <c r="N368">
        <v>119</v>
      </c>
      <c r="O368">
        <v>65</v>
      </c>
      <c r="P368" t="s">
        <v>44</v>
      </c>
    </row>
    <row r="369" spans="1:16" x14ac:dyDescent="0.25">
      <c r="A369">
        <v>375</v>
      </c>
      <c r="B369" s="2">
        <v>43927.458333333336</v>
      </c>
      <c r="C369" s="2">
        <v>43935.357638888891</v>
      </c>
      <c r="D369">
        <v>3</v>
      </c>
      <c r="E369" t="s">
        <v>4</v>
      </c>
      <c r="F369" t="s">
        <v>10</v>
      </c>
      <c r="G369" t="s">
        <v>23</v>
      </c>
      <c r="H369">
        <v>49</v>
      </c>
      <c r="I369">
        <v>0.88</v>
      </c>
      <c r="J369">
        <v>0.5</v>
      </c>
      <c r="K369" t="s">
        <v>15</v>
      </c>
      <c r="L369">
        <v>97</v>
      </c>
      <c r="M369">
        <v>170</v>
      </c>
      <c r="N369">
        <v>76</v>
      </c>
      <c r="O369">
        <v>65</v>
      </c>
      <c r="P369" t="s">
        <v>44</v>
      </c>
    </row>
    <row r="370" spans="1:16" x14ac:dyDescent="0.25">
      <c r="A370">
        <v>376</v>
      </c>
      <c r="B370" s="2">
        <v>43933.416666666664</v>
      </c>
      <c r="C370" s="2">
        <v>43935.395833333336</v>
      </c>
      <c r="D370">
        <v>5</v>
      </c>
      <c r="E370" t="s">
        <v>4</v>
      </c>
      <c r="F370" t="s">
        <v>3</v>
      </c>
      <c r="G370" t="s">
        <v>29</v>
      </c>
      <c r="H370">
        <v>19</v>
      </c>
      <c r="I370">
        <v>0.88</v>
      </c>
      <c r="J370">
        <v>0.55000000000000004</v>
      </c>
      <c r="K370" t="s">
        <v>15</v>
      </c>
      <c r="L370">
        <v>69</v>
      </c>
      <c r="M370">
        <v>178</v>
      </c>
      <c r="N370">
        <v>116</v>
      </c>
      <c r="O370">
        <v>40</v>
      </c>
      <c r="P370" t="s">
        <v>46</v>
      </c>
    </row>
    <row r="371" spans="1:16" x14ac:dyDescent="0.25">
      <c r="A371">
        <v>377</v>
      </c>
      <c r="B371" s="2">
        <v>43939.481944444444</v>
      </c>
      <c r="C371" s="2">
        <v>43939.54583333333</v>
      </c>
      <c r="D371">
        <v>5</v>
      </c>
      <c r="E371" t="s">
        <v>2</v>
      </c>
      <c r="F371" t="s">
        <v>1</v>
      </c>
      <c r="G371" t="s">
        <v>30</v>
      </c>
      <c r="H371">
        <v>76</v>
      </c>
      <c r="I371">
        <v>23.59</v>
      </c>
      <c r="J371">
        <v>7.51</v>
      </c>
      <c r="K371" t="s">
        <v>13</v>
      </c>
      <c r="L371">
        <v>128</v>
      </c>
      <c r="M371">
        <v>155</v>
      </c>
      <c r="N371">
        <v>70</v>
      </c>
      <c r="O371">
        <v>50</v>
      </c>
      <c r="P371" t="s">
        <v>46</v>
      </c>
    </row>
    <row r="372" spans="1:16" x14ac:dyDescent="0.25">
      <c r="A372">
        <v>378</v>
      </c>
      <c r="B372" s="2">
        <v>43940.583333333336</v>
      </c>
      <c r="C372" s="2">
        <v>43941.338888888888</v>
      </c>
      <c r="D372">
        <v>3</v>
      </c>
      <c r="E372" t="s">
        <v>4</v>
      </c>
      <c r="F372" t="s">
        <v>3</v>
      </c>
      <c r="G372" t="s">
        <v>32</v>
      </c>
      <c r="H372">
        <v>72</v>
      </c>
      <c r="I372">
        <v>10.29</v>
      </c>
      <c r="J372">
        <v>5.66</v>
      </c>
      <c r="K372" t="s">
        <v>15</v>
      </c>
      <c r="L372">
        <v>97</v>
      </c>
      <c r="M372">
        <v>163</v>
      </c>
      <c r="N372">
        <v>82</v>
      </c>
      <c r="O372">
        <v>60</v>
      </c>
      <c r="P372" t="s">
        <v>44</v>
      </c>
    </row>
    <row r="373" spans="1:16" x14ac:dyDescent="0.25">
      <c r="A373">
        <v>379</v>
      </c>
      <c r="B373" s="2">
        <v>43939.629166666666</v>
      </c>
      <c r="C373" s="2">
        <v>43941.354166666664</v>
      </c>
      <c r="D373">
        <v>5</v>
      </c>
      <c r="E373" t="s">
        <v>6</v>
      </c>
      <c r="F373" t="s">
        <v>11</v>
      </c>
      <c r="G373" t="s">
        <v>23</v>
      </c>
      <c r="H373">
        <v>76</v>
      </c>
      <c r="I373">
        <v>32.04</v>
      </c>
      <c r="J373">
        <v>22.09</v>
      </c>
      <c r="K373" t="s">
        <v>15</v>
      </c>
      <c r="L373">
        <v>95</v>
      </c>
      <c r="M373">
        <v>176</v>
      </c>
      <c r="N373">
        <v>80</v>
      </c>
      <c r="O373">
        <v>67</v>
      </c>
      <c r="P373" t="s">
        <v>44</v>
      </c>
    </row>
    <row r="374" spans="1:16" x14ac:dyDescent="0.25">
      <c r="A374">
        <v>380</v>
      </c>
      <c r="B374" s="2">
        <v>43939.938888888886</v>
      </c>
      <c r="C374" s="2">
        <v>43941.510416666664</v>
      </c>
      <c r="D374">
        <v>4</v>
      </c>
      <c r="E374" t="s">
        <v>2</v>
      </c>
      <c r="F374" t="s">
        <v>1</v>
      </c>
      <c r="G374" t="s">
        <v>30</v>
      </c>
      <c r="H374">
        <v>58</v>
      </c>
      <c r="I374">
        <v>16.079999999999998</v>
      </c>
      <c r="J374">
        <v>7.21</v>
      </c>
      <c r="K374" t="s">
        <v>15</v>
      </c>
      <c r="L374">
        <v>92</v>
      </c>
      <c r="M374">
        <v>178</v>
      </c>
      <c r="N374">
        <v>105</v>
      </c>
      <c r="O374">
        <v>50</v>
      </c>
      <c r="P374" t="s">
        <v>46</v>
      </c>
    </row>
    <row r="375" spans="1:16" x14ac:dyDescent="0.25">
      <c r="A375">
        <v>381</v>
      </c>
      <c r="B375" s="2">
        <v>43945.904166666667</v>
      </c>
      <c r="C375" s="2">
        <v>43946.018750000003</v>
      </c>
      <c r="D375">
        <v>5</v>
      </c>
      <c r="E375" t="s">
        <v>2</v>
      </c>
      <c r="F375" t="s">
        <v>1</v>
      </c>
      <c r="G375" t="s">
        <v>30</v>
      </c>
      <c r="H375">
        <v>60</v>
      </c>
      <c r="I375">
        <v>22.18</v>
      </c>
      <c r="J375">
        <v>4</v>
      </c>
      <c r="K375" t="s">
        <v>15</v>
      </c>
      <c r="L375">
        <v>113</v>
      </c>
      <c r="M375">
        <v>181</v>
      </c>
      <c r="N375">
        <v>75</v>
      </c>
      <c r="O375">
        <v>63</v>
      </c>
      <c r="P375" t="s">
        <v>44</v>
      </c>
    </row>
    <row r="376" spans="1:16" x14ac:dyDescent="0.25">
      <c r="A376">
        <v>382</v>
      </c>
      <c r="B376" s="2">
        <v>43946.534722222219</v>
      </c>
      <c r="C376" s="2">
        <v>43946.645833333336</v>
      </c>
      <c r="D376">
        <v>3</v>
      </c>
      <c r="E376" t="s">
        <v>2</v>
      </c>
      <c r="F376" t="s">
        <v>1</v>
      </c>
      <c r="G376" t="s">
        <v>30</v>
      </c>
      <c r="H376">
        <v>42</v>
      </c>
      <c r="I376">
        <v>16.079999999999998</v>
      </c>
      <c r="J376">
        <v>8.08</v>
      </c>
      <c r="K376" t="s">
        <v>15</v>
      </c>
      <c r="L376">
        <v>81</v>
      </c>
      <c r="M376">
        <v>177</v>
      </c>
      <c r="N376">
        <v>106</v>
      </c>
      <c r="O376">
        <v>47</v>
      </c>
      <c r="P376" t="s">
        <v>46</v>
      </c>
    </row>
    <row r="377" spans="1:16" x14ac:dyDescent="0.25">
      <c r="A377">
        <v>383</v>
      </c>
      <c r="B377" s="2">
        <v>43948.9</v>
      </c>
      <c r="C377" s="2">
        <v>43948.969444444447</v>
      </c>
      <c r="D377">
        <v>4</v>
      </c>
      <c r="E377" t="s">
        <v>2</v>
      </c>
      <c r="F377" t="s">
        <v>1</v>
      </c>
      <c r="G377" t="s">
        <v>23</v>
      </c>
      <c r="H377">
        <v>67</v>
      </c>
      <c r="I377">
        <v>36.549999999999997</v>
      </c>
      <c r="J377">
        <v>8.1999999999999993</v>
      </c>
      <c r="K377" t="s">
        <v>15</v>
      </c>
      <c r="L377">
        <v>82</v>
      </c>
      <c r="M377">
        <v>147</v>
      </c>
      <c r="N377">
        <v>49</v>
      </c>
      <c r="O377">
        <v>64</v>
      </c>
      <c r="P377" t="s">
        <v>44</v>
      </c>
    </row>
    <row r="378" spans="1:16" x14ac:dyDescent="0.25">
      <c r="A378">
        <v>384</v>
      </c>
      <c r="B378" s="2">
        <v>43950.291666666664</v>
      </c>
      <c r="C378" s="2">
        <v>43950.444444444445</v>
      </c>
      <c r="D378">
        <v>5</v>
      </c>
      <c r="E378" t="s">
        <v>4</v>
      </c>
      <c r="F378" t="s">
        <v>11</v>
      </c>
      <c r="G378" t="s">
        <v>23</v>
      </c>
      <c r="H378">
        <v>66</v>
      </c>
      <c r="I378">
        <v>3.28</v>
      </c>
      <c r="J378">
        <v>1.27</v>
      </c>
      <c r="K378" t="s">
        <v>15</v>
      </c>
      <c r="L378">
        <v>63</v>
      </c>
      <c r="M378">
        <v>161</v>
      </c>
      <c r="N378">
        <v>63</v>
      </c>
      <c r="O378">
        <v>70</v>
      </c>
      <c r="P378" t="s">
        <v>44</v>
      </c>
    </row>
    <row r="379" spans="1:16" x14ac:dyDescent="0.25">
      <c r="A379">
        <v>385</v>
      </c>
      <c r="B379" s="2">
        <v>43951.291666666664</v>
      </c>
      <c r="C379" s="2">
        <v>43951.415972222225</v>
      </c>
      <c r="D379">
        <v>5</v>
      </c>
      <c r="E379" t="s">
        <v>4</v>
      </c>
      <c r="F379" t="s">
        <v>3</v>
      </c>
      <c r="G379" t="s">
        <v>31</v>
      </c>
      <c r="H379">
        <v>69</v>
      </c>
      <c r="I379">
        <v>12.49</v>
      </c>
      <c r="J379">
        <v>2.42</v>
      </c>
      <c r="K379" t="s">
        <v>15</v>
      </c>
      <c r="L379">
        <v>108</v>
      </c>
      <c r="M379">
        <v>179</v>
      </c>
      <c r="N379">
        <v>113</v>
      </c>
      <c r="O379">
        <v>35</v>
      </c>
      <c r="P379" t="s">
        <v>46</v>
      </c>
    </row>
    <row r="380" spans="1:16" x14ac:dyDescent="0.25">
      <c r="A380">
        <v>386</v>
      </c>
      <c r="B380" s="2">
        <v>43953.490972222222</v>
      </c>
      <c r="C380" s="2">
        <v>43955.40625</v>
      </c>
      <c r="D380">
        <v>5</v>
      </c>
      <c r="E380" t="s">
        <v>2</v>
      </c>
      <c r="F380" t="s">
        <v>3</v>
      </c>
      <c r="G380" t="s">
        <v>23</v>
      </c>
      <c r="H380">
        <v>18</v>
      </c>
      <c r="I380">
        <v>26.27</v>
      </c>
      <c r="J380">
        <v>6.68</v>
      </c>
      <c r="K380" t="s">
        <v>15</v>
      </c>
      <c r="L380">
        <v>73</v>
      </c>
      <c r="M380">
        <v>170</v>
      </c>
      <c r="N380">
        <v>105</v>
      </c>
      <c r="O380">
        <v>45</v>
      </c>
      <c r="P380" t="s">
        <v>46</v>
      </c>
    </row>
    <row r="381" spans="1:16" x14ac:dyDescent="0.25">
      <c r="A381">
        <v>387</v>
      </c>
      <c r="B381" s="2">
        <v>43956.025694444441</v>
      </c>
      <c r="C381" s="2">
        <v>43956.715277777781</v>
      </c>
      <c r="D381">
        <v>1</v>
      </c>
      <c r="E381" t="s">
        <v>2</v>
      </c>
      <c r="F381" t="s">
        <v>11</v>
      </c>
      <c r="G381" t="s">
        <v>28</v>
      </c>
      <c r="H381">
        <v>68</v>
      </c>
      <c r="I381">
        <v>25.23</v>
      </c>
      <c r="J381">
        <v>17.79</v>
      </c>
      <c r="K381" t="s">
        <v>15</v>
      </c>
      <c r="L381">
        <v>90</v>
      </c>
      <c r="M381">
        <v>161</v>
      </c>
      <c r="N381">
        <v>65</v>
      </c>
      <c r="O381">
        <v>62</v>
      </c>
      <c r="P381" t="s">
        <v>44</v>
      </c>
    </row>
    <row r="382" spans="1:16" x14ac:dyDescent="0.25">
      <c r="A382">
        <v>388</v>
      </c>
      <c r="B382" s="2">
        <v>43957.291666666664</v>
      </c>
      <c r="C382" s="2">
        <v>43957.4375</v>
      </c>
      <c r="D382">
        <v>5</v>
      </c>
      <c r="E382" t="s">
        <v>4</v>
      </c>
      <c r="F382" t="s">
        <v>1</v>
      </c>
      <c r="G382" t="s">
        <v>23</v>
      </c>
      <c r="H382">
        <v>75</v>
      </c>
      <c r="I382">
        <v>12.4</v>
      </c>
      <c r="J382">
        <v>3.76</v>
      </c>
      <c r="K382" t="s">
        <v>15</v>
      </c>
      <c r="L382">
        <v>71</v>
      </c>
      <c r="M382">
        <v>165</v>
      </c>
      <c r="N382">
        <v>91</v>
      </c>
      <c r="O382">
        <v>55</v>
      </c>
      <c r="P382" t="s">
        <v>44</v>
      </c>
    </row>
    <row r="383" spans="1:16" x14ac:dyDescent="0.25">
      <c r="A383">
        <v>389</v>
      </c>
      <c r="B383" s="2">
        <v>43955.65625</v>
      </c>
      <c r="C383" s="2">
        <v>43957.541666666664</v>
      </c>
      <c r="D383">
        <v>3</v>
      </c>
      <c r="E383" t="s">
        <v>2</v>
      </c>
      <c r="F383" t="s">
        <v>11</v>
      </c>
      <c r="G383" t="s">
        <v>30</v>
      </c>
      <c r="H383">
        <v>68</v>
      </c>
      <c r="I383">
        <v>92.24</v>
      </c>
      <c r="J383">
        <v>70.790000000000006</v>
      </c>
      <c r="K383" t="s">
        <v>15</v>
      </c>
      <c r="L383">
        <v>62</v>
      </c>
      <c r="M383">
        <v>157</v>
      </c>
      <c r="N383">
        <v>87</v>
      </c>
      <c r="O383">
        <v>39</v>
      </c>
      <c r="P383" t="s">
        <v>46</v>
      </c>
    </row>
    <row r="384" spans="1:16" x14ac:dyDescent="0.25">
      <c r="A384">
        <v>391</v>
      </c>
      <c r="B384" s="2">
        <v>43958.554166666669</v>
      </c>
      <c r="C384" s="2">
        <v>43958.590277777781</v>
      </c>
      <c r="D384">
        <v>3</v>
      </c>
      <c r="E384" t="s">
        <v>2</v>
      </c>
      <c r="F384" t="s">
        <v>1</v>
      </c>
      <c r="G384" t="s">
        <v>30</v>
      </c>
      <c r="H384">
        <v>59</v>
      </c>
      <c r="I384">
        <v>32.159999999999997</v>
      </c>
      <c r="J384">
        <v>9.02</v>
      </c>
      <c r="K384" t="s">
        <v>15</v>
      </c>
      <c r="L384">
        <v>73</v>
      </c>
      <c r="M384">
        <v>177</v>
      </c>
      <c r="N384">
        <v>73</v>
      </c>
      <c r="O384">
        <v>56</v>
      </c>
      <c r="P384" t="s">
        <v>44</v>
      </c>
    </row>
    <row r="385" spans="1:16" x14ac:dyDescent="0.25">
      <c r="A385">
        <v>392</v>
      </c>
      <c r="B385" s="2">
        <v>43962.291666666664</v>
      </c>
      <c r="C385" s="2">
        <v>43962.411111111112</v>
      </c>
      <c r="D385">
        <v>5</v>
      </c>
      <c r="E385" t="s">
        <v>4</v>
      </c>
      <c r="F385" t="s">
        <v>1</v>
      </c>
      <c r="G385" t="s">
        <v>23</v>
      </c>
      <c r="H385">
        <v>80</v>
      </c>
      <c r="I385">
        <v>41.07</v>
      </c>
      <c r="J385">
        <v>9.76</v>
      </c>
      <c r="K385" t="s">
        <v>15</v>
      </c>
      <c r="L385">
        <v>95</v>
      </c>
      <c r="M385">
        <v>156</v>
      </c>
      <c r="N385">
        <v>105</v>
      </c>
      <c r="O385">
        <v>64</v>
      </c>
      <c r="P385" t="s">
        <v>44</v>
      </c>
    </row>
    <row r="386" spans="1:16" x14ac:dyDescent="0.25">
      <c r="A386">
        <v>393</v>
      </c>
      <c r="B386" s="2">
        <v>43962.291666666664</v>
      </c>
      <c r="C386" s="2">
        <v>43962.418749999997</v>
      </c>
      <c r="D386">
        <v>4</v>
      </c>
      <c r="E386" t="s">
        <v>4</v>
      </c>
      <c r="F386" t="s">
        <v>1</v>
      </c>
      <c r="G386" t="s">
        <v>22</v>
      </c>
      <c r="H386">
        <v>66</v>
      </c>
      <c r="I386">
        <v>7.21</v>
      </c>
      <c r="J386">
        <v>1.95</v>
      </c>
      <c r="K386" t="s">
        <v>15</v>
      </c>
      <c r="L386">
        <v>70</v>
      </c>
      <c r="M386">
        <v>170</v>
      </c>
      <c r="N386">
        <v>85</v>
      </c>
      <c r="O386">
        <v>35</v>
      </c>
      <c r="P386" t="s">
        <v>46</v>
      </c>
    </row>
    <row r="387" spans="1:16" x14ac:dyDescent="0.25">
      <c r="A387">
        <v>394</v>
      </c>
      <c r="B387" s="2">
        <v>43960.627083333333</v>
      </c>
      <c r="C387" s="2">
        <v>43962.672222222223</v>
      </c>
      <c r="D387">
        <v>3</v>
      </c>
      <c r="E387" t="s">
        <v>2</v>
      </c>
      <c r="F387" t="s">
        <v>11</v>
      </c>
      <c r="G387" t="s">
        <v>23</v>
      </c>
      <c r="H387">
        <v>17</v>
      </c>
      <c r="I387">
        <v>7.16</v>
      </c>
      <c r="J387">
        <v>7.36</v>
      </c>
      <c r="K387" t="s">
        <v>15</v>
      </c>
      <c r="L387">
        <v>95</v>
      </c>
      <c r="M387">
        <v>165</v>
      </c>
      <c r="N387">
        <v>65</v>
      </c>
      <c r="O387">
        <v>55</v>
      </c>
      <c r="P387" t="s">
        <v>44</v>
      </c>
    </row>
    <row r="388" spans="1:16" x14ac:dyDescent="0.25">
      <c r="A388">
        <v>395</v>
      </c>
      <c r="B388" s="2">
        <v>43963.291666666664</v>
      </c>
      <c r="C388" s="2">
        <v>43963.320138888892</v>
      </c>
      <c r="D388">
        <v>5</v>
      </c>
      <c r="E388" t="s">
        <v>4</v>
      </c>
      <c r="F388" t="s">
        <v>3</v>
      </c>
      <c r="G388" t="s">
        <v>33</v>
      </c>
      <c r="H388">
        <v>80</v>
      </c>
      <c r="I388">
        <v>15.36</v>
      </c>
      <c r="J388">
        <v>8.24</v>
      </c>
      <c r="K388" t="s">
        <v>15</v>
      </c>
      <c r="L388">
        <v>76</v>
      </c>
      <c r="M388">
        <v>180</v>
      </c>
      <c r="N388">
        <v>111</v>
      </c>
      <c r="O388">
        <v>65</v>
      </c>
      <c r="P388" t="s">
        <v>44</v>
      </c>
    </row>
    <row r="389" spans="1:16" x14ac:dyDescent="0.25">
      <c r="A389">
        <v>396</v>
      </c>
      <c r="B389" s="2">
        <v>43963.291666666664</v>
      </c>
      <c r="C389" s="2">
        <v>43963.422222222223</v>
      </c>
      <c r="D389">
        <v>4</v>
      </c>
      <c r="E389" t="s">
        <v>4</v>
      </c>
      <c r="F389" t="s">
        <v>3</v>
      </c>
      <c r="G389" t="s">
        <v>35</v>
      </c>
      <c r="H389">
        <v>40</v>
      </c>
      <c r="I389">
        <v>2.08</v>
      </c>
      <c r="J389">
        <v>0.62</v>
      </c>
      <c r="K389" t="s">
        <v>15</v>
      </c>
      <c r="L389">
        <v>81</v>
      </c>
      <c r="M389">
        <v>183</v>
      </c>
      <c r="N389">
        <v>68</v>
      </c>
      <c r="O389">
        <v>55</v>
      </c>
      <c r="P389" t="s">
        <v>44</v>
      </c>
    </row>
    <row r="390" spans="1:16" x14ac:dyDescent="0.25">
      <c r="A390">
        <v>397</v>
      </c>
      <c r="B390" s="2">
        <v>43960.435416666667</v>
      </c>
      <c r="C390" s="2">
        <v>43964.380555555559</v>
      </c>
      <c r="D390">
        <v>4</v>
      </c>
      <c r="E390" t="s">
        <v>6</v>
      </c>
      <c r="F390" t="s">
        <v>10</v>
      </c>
      <c r="G390" t="s">
        <v>24</v>
      </c>
      <c r="H390">
        <v>54</v>
      </c>
      <c r="I390">
        <v>2.09</v>
      </c>
      <c r="J390">
        <v>2.15</v>
      </c>
      <c r="K390" t="s">
        <v>15</v>
      </c>
      <c r="L390">
        <v>68</v>
      </c>
      <c r="M390">
        <v>178</v>
      </c>
      <c r="N390">
        <v>78</v>
      </c>
      <c r="O390">
        <v>55</v>
      </c>
      <c r="P390" t="s">
        <v>44</v>
      </c>
    </row>
    <row r="391" spans="1:16" x14ac:dyDescent="0.25">
      <c r="A391">
        <v>398</v>
      </c>
      <c r="B391" s="2">
        <v>43964.291666666664</v>
      </c>
      <c r="C391" s="2">
        <v>43964.420138888891</v>
      </c>
      <c r="D391">
        <v>5</v>
      </c>
      <c r="E391" t="s">
        <v>4</v>
      </c>
      <c r="F391" t="s">
        <v>3</v>
      </c>
      <c r="G391" t="s">
        <v>32</v>
      </c>
      <c r="H391">
        <v>70</v>
      </c>
      <c r="I391">
        <v>4.24</v>
      </c>
      <c r="J391">
        <v>1.44</v>
      </c>
      <c r="K391" t="s">
        <v>15</v>
      </c>
      <c r="L391">
        <v>97</v>
      </c>
      <c r="M391">
        <v>175</v>
      </c>
      <c r="N391">
        <v>87</v>
      </c>
      <c r="O391">
        <v>71</v>
      </c>
      <c r="P391" t="s">
        <v>44</v>
      </c>
    </row>
    <row r="392" spans="1:16" x14ac:dyDescent="0.25">
      <c r="A392">
        <v>399</v>
      </c>
      <c r="B392" s="2">
        <v>43963.458333333336</v>
      </c>
      <c r="C392" s="2">
        <v>43965.416666666664</v>
      </c>
      <c r="D392">
        <v>5</v>
      </c>
      <c r="E392" t="s">
        <v>6</v>
      </c>
      <c r="F392" t="s">
        <v>10</v>
      </c>
      <c r="G392" t="s">
        <v>29</v>
      </c>
      <c r="H392">
        <v>73</v>
      </c>
      <c r="I392">
        <v>3.75</v>
      </c>
      <c r="J392">
        <v>1.94</v>
      </c>
      <c r="K392" t="s">
        <v>15</v>
      </c>
      <c r="L392">
        <v>73</v>
      </c>
      <c r="M392">
        <v>163</v>
      </c>
      <c r="N392">
        <v>67</v>
      </c>
      <c r="O392">
        <v>70</v>
      </c>
      <c r="P392" t="s">
        <v>44</v>
      </c>
    </row>
    <row r="393" spans="1:16" x14ac:dyDescent="0.25">
      <c r="A393">
        <v>400</v>
      </c>
      <c r="B393" s="2">
        <v>43965.284722222219</v>
      </c>
      <c r="C393" s="2">
        <v>43965.424305555556</v>
      </c>
      <c r="D393">
        <v>4</v>
      </c>
      <c r="E393" t="s">
        <v>4</v>
      </c>
      <c r="F393" t="s">
        <v>10</v>
      </c>
      <c r="G393" t="s">
        <v>31</v>
      </c>
      <c r="H393">
        <v>73</v>
      </c>
      <c r="I393">
        <v>2.21</v>
      </c>
      <c r="J393">
        <v>0.97</v>
      </c>
      <c r="K393" t="s">
        <v>15</v>
      </c>
      <c r="L393">
        <v>66</v>
      </c>
      <c r="M393">
        <v>167</v>
      </c>
      <c r="N393">
        <v>50</v>
      </c>
      <c r="O393">
        <v>65</v>
      </c>
      <c r="P393" t="s">
        <v>44</v>
      </c>
    </row>
    <row r="394" spans="1:16" x14ac:dyDescent="0.25">
      <c r="A394">
        <v>401</v>
      </c>
      <c r="B394" s="2">
        <v>43966.291666666664</v>
      </c>
      <c r="C394" s="2">
        <v>43966.426388888889</v>
      </c>
      <c r="D394">
        <v>5</v>
      </c>
      <c r="E394" t="s">
        <v>6</v>
      </c>
      <c r="F394" t="s">
        <v>3</v>
      </c>
      <c r="G394" t="s">
        <v>22</v>
      </c>
      <c r="H394">
        <v>45</v>
      </c>
      <c r="I394">
        <v>2.08</v>
      </c>
      <c r="J394">
        <v>0.86</v>
      </c>
      <c r="K394" t="s">
        <v>15</v>
      </c>
      <c r="L394">
        <v>67</v>
      </c>
      <c r="M394">
        <v>178</v>
      </c>
      <c r="N394">
        <v>85</v>
      </c>
      <c r="O394">
        <v>55</v>
      </c>
      <c r="P394" t="s">
        <v>44</v>
      </c>
    </row>
    <row r="395" spans="1:16" x14ac:dyDescent="0.25">
      <c r="A395">
        <v>402</v>
      </c>
      <c r="B395" s="2">
        <v>43966.848611111112</v>
      </c>
      <c r="C395" s="2">
        <v>43966.861111111109</v>
      </c>
      <c r="D395">
        <v>2</v>
      </c>
      <c r="E395" t="s">
        <v>2</v>
      </c>
      <c r="F395" t="s">
        <v>5</v>
      </c>
      <c r="G395" t="s">
        <v>30</v>
      </c>
      <c r="H395">
        <v>63</v>
      </c>
      <c r="I395">
        <v>3.91</v>
      </c>
      <c r="J395">
        <v>2.84</v>
      </c>
      <c r="K395" t="s">
        <v>15</v>
      </c>
      <c r="L395">
        <v>74</v>
      </c>
      <c r="M395">
        <v>176</v>
      </c>
      <c r="N395">
        <v>70</v>
      </c>
      <c r="O395">
        <v>52</v>
      </c>
      <c r="P395" t="s">
        <v>44</v>
      </c>
    </row>
    <row r="396" spans="1:16" x14ac:dyDescent="0.25">
      <c r="A396">
        <v>403</v>
      </c>
      <c r="B396" s="2">
        <v>43965.458333333336</v>
      </c>
      <c r="C396" s="2">
        <v>43969.350694444445</v>
      </c>
      <c r="D396">
        <v>5</v>
      </c>
      <c r="E396" t="s">
        <v>6</v>
      </c>
      <c r="F396" t="s">
        <v>3</v>
      </c>
      <c r="G396" t="s">
        <v>23</v>
      </c>
      <c r="H396">
        <v>19</v>
      </c>
      <c r="I396">
        <v>4.37</v>
      </c>
      <c r="J396">
        <v>5.0599999999999996</v>
      </c>
      <c r="K396" t="s">
        <v>15</v>
      </c>
      <c r="L396">
        <v>96</v>
      </c>
      <c r="M396">
        <v>164</v>
      </c>
      <c r="N396">
        <v>60</v>
      </c>
      <c r="O396">
        <v>55</v>
      </c>
      <c r="P396" t="s">
        <v>44</v>
      </c>
    </row>
    <row r="397" spans="1:16" x14ac:dyDescent="0.25">
      <c r="A397">
        <v>404</v>
      </c>
      <c r="B397" s="2">
        <v>43969.284722222219</v>
      </c>
      <c r="C397" s="2">
        <v>43969.418055555558</v>
      </c>
      <c r="D397">
        <v>4</v>
      </c>
      <c r="E397" t="s">
        <v>4</v>
      </c>
      <c r="F397" t="s">
        <v>10</v>
      </c>
      <c r="G397" t="s">
        <v>24</v>
      </c>
      <c r="H397">
        <v>73</v>
      </c>
      <c r="I397">
        <v>2.21</v>
      </c>
      <c r="J397">
        <v>0.81</v>
      </c>
      <c r="K397" t="s">
        <v>15</v>
      </c>
      <c r="L397">
        <v>92</v>
      </c>
      <c r="M397">
        <v>171</v>
      </c>
      <c r="N397">
        <v>84</v>
      </c>
      <c r="O397">
        <v>55</v>
      </c>
      <c r="P397" t="s">
        <v>44</v>
      </c>
    </row>
    <row r="398" spans="1:16" x14ac:dyDescent="0.25">
      <c r="A398">
        <v>405</v>
      </c>
      <c r="B398" s="2">
        <v>43970.291666666664</v>
      </c>
      <c r="C398" s="2">
        <v>43970.416666666664</v>
      </c>
      <c r="D398">
        <v>5</v>
      </c>
      <c r="E398" t="s">
        <v>4</v>
      </c>
      <c r="F398" t="s">
        <v>10</v>
      </c>
      <c r="G398" t="s">
        <v>26</v>
      </c>
      <c r="H398">
        <v>78</v>
      </c>
      <c r="I398">
        <v>13.14</v>
      </c>
      <c r="J398">
        <v>4.95</v>
      </c>
      <c r="K398" t="s">
        <v>15</v>
      </c>
      <c r="L398">
        <v>134</v>
      </c>
      <c r="M398">
        <v>191</v>
      </c>
      <c r="N398">
        <v>99</v>
      </c>
      <c r="O398">
        <v>39</v>
      </c>
      <c r="P398" t="s">
        <v>45</v>
      </c>
    </row>
    <row r="399" spans="1:16" x14ac:dyDescent="0.25">
      <c r="A399">
        <v>406</v>
      </c>
      <c r="B399" s="2">
        <v>43970.306944444441</v>
      </c>
      <c r="C399" s="2">
        <v>43970.420138888891</v>
      </c>
      <c r="D399">
        <v>4</v>
      </c>
      <c r="E399" t="s">
        <v>4</v>
      </c>
      <c r="F399" t="s">
        <v>11</v>
      </c>
      <c r="G399" t="s">
        <v>29</v>
      </c>
      <c r="H399">
        <v>80</v>
      </c>
      <c r="I399">
        <v>5.83</v>
      </c>
      <c r="J399">
        <v>4.96</v>
      </c>
      <c r="K399" t="s">
        <v>15</v>
      </c>
      <c r="L399">
        <v>83</v>
      </c>
      <c r="M399">
        <v>180</v>
      </c>
      <c r="N399">
        <v>65</v>
      </c>
      <c r="O399">
        <v>60</v>
      </c>
      <c r="P399" t="s">
        <v>44</v>
      </c>
    </row>
    <row r="400" spans="1:16" x14ac:dyDescent="0.25">
      <c r="A400">
        <v>407</v>
      </c>
      <c r="B400" s="2">
        <v>43971.305555555555</v>
      </c>
      <c r="C400" s="2">
        <v>43971.445138888892</v>
      </c>
      <c r="D400">
        <v>4</v>
      </c>
      <c r="E400" t="s">
        <v>4</v>
      </c>
      <c r="F400" t="s">
        <v>3</v>
      </c>
      <c r="G400" t="s">
        <v>35</v>
      </c>
      <c r="H400">
        <v>72</v>
      </c>
      <c r="I400">
        <v>4.8099999999999996</v>
      </c>
      <c r="J400">
        <v>0.88</v>
      </c>
      <c r="K400" t="s">
        <v>15</v>
      </c>
      <c r="L400">
        <v>66</v>
      </c>
      <c r="M400">
        <v>161</v>
      </c>
      <c r="N400">
        <v>80</v>
      </c>
      <c r="O400">
        <v>55</v>
      </c>
      <c r="P400" t="s">
        <v>44</v>
      </c>
    </row>
    <row r="401" spans="1:16" x14ac:dyDescent="0.25">
      <c r="A401">
        <v>408</v>
      </c>
      <c r="B401" s="2">
        <v>43972.301388888889</v>
      </c>
      <c r="C401" s="2">
        <v>43972.507638888892</v>
      </c>
      <c r="D401">
        <v>4</v>
      </c>
      <c r="E401" t="s">
        <v>4</v>
      </c>
      <c r="F401" t="s">
        <v>3</v>
      </c>
      <c r="G401" t="s">
        <v>32</v>
      </c>
      <c r="H401">
        <v>61</v>
      </c>
      <c r="I401">
        <v>7.73</v>
      </c>
      <c r="J401">
        <v>1.93</v>
      </c>
      <c r="K401" t="s">
        <v>15</v>
      </c>
      <c r="L401">
        <v>92</v>
      </c>
      <c r="M401">
        <v>182</v>
      </c>
      <c r="N401">
        <v>78</v>
      </c>
      <c r="O401">
        <v>55</v>
      </c>
      <c r="P401" t="s">
        <v>44</v>
      </c>
    </row>
    <row r="402" spans="1:16" x14ac:dyDescent="0.25">
      <c r="A402">
        <v>409</v>
      </c>
      <c r="B402" s="2">
        <v>43973.292361111111</v>
      </c>
      <c r="C402" s="2">
        <v>43973.479166666664</v>
      </c>
      <c r="D402">
        <v>4</v>
      </c>
      <c r="E402" t="s">
        <v>4</v>
      </c>
      <c r="F402" t="s">
        <v>3</v>
      </c>
      <c r="G402" t="s">
        <v>35</v>
      </c>
      <c r="H402">
        <v>69</v>
      </c>
      <c r="I402">
        <v>6.9</v>
      </c>
      <c r="J402">
        <v>1.42</v>
      </c>
      <c r="K402" t="s">
        <v>15</v>
      </c>
      <c r="L402">
        <v>81</v>
      </c>
      <c r="M402">
        <v>168</v>
      </c>
      <c r="N402">
        <v>96</v>
      </c>
      <c r="O402">
        <v>68</v>
      </c>
      <c r="P402" t="s">
        <v>44</v>
      </c>
    </row>
    <row r="403" spans="1:16" x14ac:dyDescent="0.25">
      <c r="A403">
        <v>410</v>
      </c>
      <c r="B403" s="2">
        <v>43973.375</v>
      </c>
      <c r="C403" s="2">
        <v>43974.347916666666</v>
      </c>
      <c r="D403">
        <v>4</v>
      </c>
      <c r="E403" t="s">
        <v>2</v>
      </c>
      <c r="F403" t="s">
        <v>10</v>
      </c>
      <c r="G403" t="s">
        <v>23</v>
      </c>
      <c r="H403">
        <v>65</v>
      </c>
      <c r="I403">
        <v>2.63</v>
      </c>
      <c r="J403">
        <v>1.1599999999999999</v>
      </c>
      <c r="K403" t="s">
        <v>15</v>
      </c>
      <c r="L403">
        <v>91</v>
      </c>
      <c r="M403">
        <v>170</v>
      </c>
      <c r="N403">
        <v>66</v>
      </c>
      <c r="O403">
        <v>25</v>
      </c>
      <c r="P403" t="s">
        <v>45</v>
      </c>
    </row>
    <row r="404" spans="1:16" x14ac:dyDescent="0.25">
      <c r="A404">
        <v>411</v>
      </c>
      <c r="B404" s="2">
        <v>43971.666666666664</v>
      </c>
      <c r="C404" s="2">
        <v>43974.411111111112</v>
      </c>
      <c r="D404">
        <v>5</v>
      </c>
      <c r="E404" t="s">
        <v>4</v>
      </c>
      <c r="F404" t="s">
        <v>10</v>
      </c>
      <c r="G404" t="s">
        <v>26</v>
      </c>
      <c r="H404">
        <v>58</v>
      </c>
      <c r="I404">
        <v>1.22</v>
      </c>
      <c r="J404">
        <v>0.62</v>
      </c>
      <c r="K404" t="s">
        <v>15</v>
      </c>
      <c r="L404">
        <v>85</v>
      </c>
      <c r="M404">
        <v>163</v>
      </c>
      <c r="N404">
        <v>63</v>
      </c>
      <c r="O404">
        <v>55</v>
      </c>
      <c r="P404" t="s">
        <v>44</v>
      </c>
    </row>
    <row r="405" spans="1:16" x14ac:dyDescent="0.25">
      <c r="A405">
        <v>412</v>
      </c>
      <c r="B405" s="2">
        <v>43973.738194444442</v>
      </c>
      <c r="C405" s="2">
        <v>43975.559027777781</v>
      </c>
      <c r="D405">
        <v>5</v>
      </c>
      <c r="E405" t="s">
        <v>2</v>
      </c>
      <c r="F405" t="s">
        <v>1</v>
      </c>
      <c r="G405" t="s">
        <v>23</v>
      </c>
      <c r="H405">
        <v>64</v>
      </c>
      <c r="I405">
        <v>12.18</v>
      </c>
      <c r="J405">
        <v>3.65</v>
      </c>
      <c r="K405" t="s">
        <v>15</v>
      </c>
      <c r="L405">
        <v>65</v>
      </c>
      <c r="M405">
        <v>153</v>
      </c>
      <c r="N405">
        <v>68</v>
      </c>
      <c r="O405">
        <v>45</v>
      </c>
      <c r="P405" t="s">
        <v>46</v>
      </c>
    </row>
    <row r="406" spans="1:16" x14ac:dyDescent="0.25">
      <c r="A406">
        <v>413</v>
      </c>
      <c r="B406" s="2">
        <v>43974.359722222223</v>
      </c>
      <c r="C406" s="2">
        <v>43976.6</v>
      </c>
      <c r="D406">
        <v>4</v>
      </c>
      <c r="E406" t="s">
        <v>2</v>
      </c>
      <c r="F406" t="s">
        <v>11</v>
      </c>
      <c r="G406" t="s">
        <v>24</v>
      </c>
      <c r="H406">
        <v>82</v>
      </c>
      <c r="I406">
        <v>79.03</v>
      </c>
      <c r="J406">
        <v>30.65</v>
      </c>
      <c r="K406" t="s">
        <v>15</v>
      </c>
      <c r="L406">
        <v>94</v>
      </c>
      <c r="M406">
        <v>184</v>
      </c>
      <c r="N406">
        <v>84</v>
      </c>
      <c r="O406">
        <v>55</v>
      </c>
      <c r="P406" t="s">
        <v>44</v>
      </c>
    </row>
    <row r="407" spans="1:16" x14ac:dyDescent="0.25">
      <c r="A407">
        <v>414</v>
      </c>
      <c r="B407" s="2">
        <v>43977.291666666664</v>
      </c>
      <c r="C407" s="2">
        <v>43977.40625</v>
      </c>
      <c r="D407">
        <v>5</v>
      </c>
      <c r="E407" t="s">
        <v>4</v>
      </c>
      <c r="F407" t="s">
        <v>11</v>
      </c>
      <c r="G407" t="s">
        <v>23</v>
      </c>
      <c r="H407">
        <v>62</v>
      </c>
      <c r="I407">
        <v>1.83</v>
      </c>
      <c r="J407">
        <v>1.38</v>
      </c>
      <c r="K407" t="s">
        <v>15</v>
      </c>
      <c r="L407">
        <v>91</v>
      </c>
      <c r="M407">
        <v>152</v>
      </c>
      <c r="N407">
        <v>81</v>
      </c>
      <c r="O407">
        <v>72</v>
      </c>
      <c r="P407" t="s">
        <v>44</v>
      </c>
    </row>
    <row r="408" spans="1:16" x14ac:dyDescent="0.25">
      <c r="A408">
        <v>415</v>
      </c>
      <c r="B408" s="2">
        <v>43975.416666666664</v>
      </c>
      <c r="C408" s="2">
        <v>43977.409722222219</v>
      </c>
      <c r="D408">
        <v>4</v>
      </c>
      <c r="E408" t="s">
        <v>6</v>
      </c>
      <c r="F408" t="s">
        <v>10</v>
      </c>
      <c r="G408" t="s">
        <v>33</v>
      </c>
      <c r="H408">
        <v>67</v>
      </c>
      <c r="I408">
        <v>2.42</v>
      </c>
      <c r="J408">
        <v>1.1200000000000001</v>
      </c>
      <c r="K408" t="s">
        <v>15</v>
      </c>
      <c r="L408">
        <v>83</v>
      </c>
      <c r="M408">
        <v>187</v>
      </c>
      <c r="N408">
        <v>87</v>
      </c>
      <c r="O408">
        <v>67</v>
      </c>
      <c r="P408" t="s">
        <v>44</v>
      </c>
    </row>
    <row r="409" spans="1:16" x14ac:dyDescent="0.25">
      <c r="A409">
        <v>416</v>
      </c>
      <c r="B409" s="2">
        <v>43978.291666666664</v>
      </c>
      <c r="C409" s="2">
        <v>43978.375</v>
      </c>
      <c r="D409">
        <v>5</v>
      </c>
      <c r="E409" t="s">
        <v>4</v>
      </c>
      <c r="F409" t="s">
        <v>10</v>
      </c>
      <c r="G409" t="s">
        <v>23</v>
      </c>
      <c r="H409">
        <v>67</v>
      </c>
      <c r="I409">
        <v>2.42</v>
      </c>
      <c r="J409">
        <v>1</v>
      </c>
      <c r="K409" t="s">
        <v>15</v>
      </c>
      <c r="L409">
        <v>61</v>
      </c>
      <c r="M409">
        <v>169</v>
      </c>
      <c r="N409">
        <v>106</v>
      </c>
      <c r="O409">
        <v>37</v>
      </c>
      <c r="P409" t="s">
        <v>46</v>
      </c>
    </row>
    <row r="410" spans="1:16" x14ac:dyDescent="0.25">
      <c r="A410">
        <v>417</v>
      </c>
      <c r="B410" s="2">
        <v>43978.291666666664</v>
      </c>
      <c r="C410" s="2">
        <v>43978.40625</v>
      </c>
      <c r="D410">
        <v>4</v>
      </c>
      <c r="E410" t="s">
        <v>4</v>
      </c>
      <c r="F410" t="s">
        <v>3</v>
      </c>
      <c r="G410" t="s">
        <v>35</v>
      </c>
      <c r="H410">
        <v>55</v>
      </c>
      <c r="I410">
        <v>2.08</v>
      </c>
      <c r="J410">
        <v>0.62</v>
      </c>
      <c r="K410" t="s">
        <v>15</v>
      </c>
      <c r="L410">
        <v>80</v>
      </c>
      <c r="M410">
        <v>167</v>
      </c>
      <c r="N410">
        <v>76</v>
      </c>
      <c r="O410">
        <v>60</v>
      </c>
      <c r="P410" t="s">
        <v>44</v>
      </c>
    </row>
    <row r="411" spans="1:16" x14ac:dyDescent="0.25">
      <c r="A411">
        <v>418</v>
      </c>
      <c r="B411" s="2">
        <v>43967.765972222223</v>
      </c>
      <c r="C411" s="2">
        <v>43979.341666666667</v>
      </c>
      <c r="D411">
        <v>4</v>
      </c>
      <c r="E411" t="s">
        <v>6</v>
      </c>
      <c r="F411" t="s">
        <v>3</v>
      </c>
      <c r="G411" t="s">
        <v>32</v>
      </c>
      <c r="H411">
        <v>49</v>
      </c>
      <c r="I411">
        <v>32.14</v>
      </c>
      <c r="J411">
        <v>11.95</v>
      </c>
      <c r="K411" t="s">
        <v>15</v>
      </c>
      <c r="L411">
        <v>92</v>
      </c>
      <c r="M411">
        <v>189</v>
      </c>
      <c r="N411">
        <v>92</v>
      </c>
      <c r="O411">
        <v>50</v>
      </c>
      <c r="P411" t="s">
        <v>46</v>
      </c>
    </row>
    <row r="412" spans="1:16" x14ac:dyDescent="0.25">
      <c r="A412">
        <v>419</v>
      </c>
      <c r="B412" s="2">
        <v>43979.300694444442</v>
      </c>
      <c r="C412" s="2">
        <v>43979.42291666667</v>
      </c>
      <c r="D412">
        <v>5</v>
      </c>
      <c r="E412" t="s">
        <v>4</v>
      </c>
      <c r="F412" t="s">
        <v>11</v>
      </c>
      <c r="G412" t="s">
        <v>26</v>
      </c>
      <c r="H412">
        <v>60</v>
      </c>
      <c r="I412">
        <v>2.42</v>
      </c>
      <c r="J412">
        <v>1.58</v>
      </c>
      <c r="K412" t="s">
        <v>15</v>
      </c>
      <c r="L412">
        <v>75</v>
      </c>
      <c r="M412">
        <v>175</v>
      </c>
      <c r="N412">
        <v>109</v>
      </c>
      <c r="O412">
        <v>60</v>
      </c>
      <c r="P412" t="s">
        <v>44</v>
      </c>
    </row>
    <row r="413" spans="1:16" x14ac:dyDescent="0.25">
      <c r="A413">
        <v>420</v>
      </c>
      <c r="B413" s="2">
        <v>43980.29791666667</v>
      </c>
      <c r="C413" s="2">
        <v>43980.370833333334</v>
      </c>
      <c r="D413">
        <v>5</v>
      </c>
      <c r="E413" t="s">
        <v>4</v>
      </c>
      <c r="F413" t="s">
        <v>11</v>
      </c>
      <c r="G413" t="s">
        <v>31</v>
      </c>
      <c r="H413">
        <v>78</v>
      </c>
      <c r="I413">
        <v>5.14</v>
      </c>
      <c r="J413">
        <v>2.58</v>
      </c>
      <c r="K413" t="s">
        <v>15</v>
      </c>
      <c r="L413">
        <v>77</v>
      </c>
      <c r="M413">
        <v>172</v>
      </c>
      <c r="N413">
        <v>112</v>
      </c>
      <c r="O413">
        <v>55</v>
      </c>
      <c r="P413" t="s">
        <v>44</v>
      </c>
    </row>
    <row r="414" spans="1:16" x14ac:dyDescent="0.25">
      <c r="A414">
        <v>421</v>
      </c>
      <c r="B414" s="2">
        <v>43978.397916666669</v>
      </c>
      <c r="C414" s="2">
        <v>43983.350694444445</v>
      </c>
      <c r="D414">
        <v>5</v>
      </c>
      <c r="E414" t="s">
        <v>6</v>
      </c>
      <c r="F414" t="s">
        <v>11</v>
      </c>
      <c r="G414" t="s">
        <v>32</v>
      </c>
      <c r="H414">
        <v>53</v>
      </c>
      <c r="I414">
        <v>6.17</v>
      </c>
      <c r="J414">
        <v>1.84</v>
      </c>
      <c r="K414" t="s">
        <v>15</v>
      </c>
      <c r="L414">
        <v>123</v>
      </c>
      <c r="M414">
        <v>175</v>
      </c>
      <c r="N414">
        <v>102</v>
      </c>
      <c r="O414">
        <v>66</v>
      </c>
      <c r="P414" t="s">
        <v>44</v>
      </c>
    </row>
    <row r="415" spans="1:16" x14ac:dyDescent="0.25">
      <c r="A415">
        <v>422</v>
      </c>
      <c r="B415" s="2">
        <v>43983.3</v>
      </c>
      <c r="C415" s="2">
        <v>43983.495138888888</v>
      </c>
      <c r="D415">
        <v>4</v>
      </c>
      <c r="E415" t="s">
        <v>4</v>
      </c>
      <c r="F415" t="s">
        <v>11</v>
      </c>
      <c r="G415" t="s">
        <v>32</v>
      </c>
      <c r="H415">
        <v>82</v>
      </c>
      <c r="I415">
        <v>32.090000000000003</v>
      </c>
      <c r="J415">
        <v>11.99</v>
      </c>
      <c r="K415" t="s">
        <v>15</v>
      </c>
      <c r="L415">
        <v>121</v>
      </c>
      <c r="M415">
        <v>172</v>
      </c>
      <c r="N415">
        <v>81</v>
      </c>
      <c r="O415">
        <v>46</v>
      </c>
      <c r="P415" t="s">
        <v>46</v>
      </c>
    </row>
    <row r="416" spans="1:16" x14ac:dyDescent="0.25">
      <c r="A416">
        <v>423</v>
      </c>
      <c r="B416" s="2">
        <v>43983.390972222223</v>
      </c>
      <c r="C416" s="2">
        <v>43984.368055555555</v>
      </c>
      <c r="D416">
        <v>4</v>
      </c>
      <c r="E416" t="s">
        <v>4</v>
      </c>
      <c r="F416" t="s">
        <v>3</v>
      </c>
      <c r="G416" t="s">
        <v>35</v>
      </c>
      <c r="H416">
        <v>76</v>
      </c>
      <c r="I416">
        <v>4.53</v>
      </c>
      <c r="J416">
        <v>2.0499999999999998</v>
      </c>
      <c r="K416" t="s">
        <v>15</v>
      </c>
      <c r="L416">
        <v>66</v>
      </c>
      <c r="M416">
        <v>165</v>
      </c>
      <c r="N416">
        <v>88</v>
      </c>
      <c r="O416">
        <v>55</v>
      </c>
      <c r="P416" t="s">
        <v>44</v>
      </c>
    </row>
    <row r="417" spans="1:16" x14ac:dyDescent="0.25">
      <c r="A417">
        <v>424</v>
      </c>
      <c r="B417" s="2">
        <v>43983.643750000003</v>
      </c>
      <c r="C417" s="2">
        <v>43984.375</v>
      </c>
      <c r="D417">
        <v>5</v>
      </c>
      <c r="E417" t="s">
        <v>6</v>
      </c>
      <c r="F417" t="s">
        <v>10</v>
      </c>
      <c r="G417" t="s">
        <v>26</v>
      </c>
      <c r="H417">
        <v>58</v>
      </c>
      <c r="I417">
        <v>7.32</v>
      </c>
      <c r="J417">
        <v>3.51</v>
      </c>
      <c r="K417" t="s">
        <v>15</v>
      </c>
      <c r="L417">
        <v>75</v>
      </c>
      <c r="M417">
        <v>166</v>
      </c>
      <c r="N417">
        <v>68</v>
      </c>
      <c r="O417">
        <v>68</v>
      </c>
      <c r="P417" t="s">
        <v>44</v>
      </c>
    </row>
    <row r="418" spans="1:16" x14ac:dyDescent="0.25">
      <c r="A418">
        <v>425</v>
      </c>
      <c r="B418" s="2">
        <v>43984.783333333333</v>
      </c>
      <c r="C418" s="2">
        <v>43984.833333333336</v>
      </c>
      <c r="D418">
        <v>1</v>
      </c>
      <c r="E418" t="s">
        <v>2</v>
      </c>
      <c r="F418" t="s">
        <v>5</v>
      </c>
      <c r="G418" t="s">
        <v>31</v>
      </c>
      <c r="H418">
        <v>55</v>
      </c>
      <c r="I418">
        <v>4.16</v>
      </c>
      <c r="J418">
        <v>3.58</v>
      </c>
      <c r="K418" t="s">
        <v>15</v>
      </c>
      <c r="L418">
        <v>89</v>
      </c>
      <c r="M418">
        <v>162</v>
      </c>
      <c r="N418">
        <v>77</v>
      </c>
      <c r="O418">
        <v>40</v>
      </c>
      <c r="P418" t="s">
        <v>46</v>
      </c>
    </row>
    <row r="419" spans="1:16" x14ac:dyDescent="0.25">
      <c r="A419">
        <v>426</v>
      </c>
      <c r="B419" s="2">
        <v>43983.43472222222</v>
      </c>
      <c r="C419" s="2">
        <v>43985.352083333331</v>
      </c>
      <c r="D419">
        <v>4</v>
      </c>
      <c r="E419" t="s">
        <v>6</v>
      </c>
      <c r="F419" t="s">
        <v>10</v>
      </c>
      <c r="G419" t="s">
        <v>21</v>
      </c>
      <c r="H419">
        <v>69</v>
      </c>
      <c r="I419">
        <v>4.76</v>
      </c>
      <c r="J419">
        <v>2.31</v>
      </c>
      <c r="K419" t="s">
        <v>15</v>
      </c>
      <c r="L419">
        <v>83</v>
      </c>
      <c r="M419">
        <v>180</v>
      </c>
      <c r="N419">
        <v>91</v>
      </c>
      <c r="O419">
        <v>41</v>
      </c>
      <c r="P419" t="s">
        <v>46</v>
      </c>
    </row>
    <row r="420" spans="1:16" x14ac:dyDescent="0.25">
      <c r="A420">
        <v>427</v>
      </c>
      <c r="B420" s="2">
        <v>43983.75</v>
      </c>
      <c r="C420" s="2">
        <v>43985.354166666664</v>
      </c>
      <c r="D420">
        <v>5</v>
      </c>
      <c r="E420" t="s">
        <v>4</v>
      </c>
      <c r="F420" t="s">
        <v>3</v>
      </c>
      <c r="G420" t="s">
        <v>28</v>
      </c>
      <c r="H420">
        <v>57</v>
      </c>
      <c r="I420">
        <v>2.08</v>
      </c>
      <c r="J420">
        <v>1.62</v>
      </c>
      <c r="K420" t="s">
        <v>15</v>
      </c>
      <c r="L420">
        <v>110</v>
      </c>
      <c r="M420">
        <v>155</v>
      </c>
      <c r="N420">
        <v>66</v>
      </c>
      <c r="O420">
        <v>68</v>
      </c>
      <c r="P420" t="s">
        <v>44</v>
      </c>
    </row>
    <row r="421" spans="1:16" x14ac:dyDescent="0.25">
      <c r="A421">
        <v>428</v>
      </c>
      <c r="B421" s="2">
        <v>43984.583333333336</v>
      </c>
      <c r="C421" s="2">
        <v>43986.354166666664</v>
      </c>
      <c r="D421">
        <v>4</v>
      </c>
      <c r="E421" t="s">
        <v>6</v>
      </c>
      <c r="F421" t="s">
        <v>11</v>
      </c>
      <c r="G421" t="s">
        <v>23</v>
      </c>
      <c r="H421">
        <v>56</v>
      </c>
      <c r="I421">
        <v>2.57</v>
      </c>
      <c r="J421">
        <v>1.37</v>
      </c>
      <c r="K421" t="s">
        <v>15</v>
      </c>
      <c r="L421">
        <v>86</v>
      </c>
      <c r="M421">
        <v>166</v>
      </c>
      <c r="N421">
        <v>87</v>
      </c>
      <c r="O421">
        <v>40</v>
      </c>
      <c r="P421" t="s">
        <v>46</v>
      </c>
    </row>
    <row r="422" spans="1:16" x14ac:dyDescent="0.25">
      <c r="A422">
        <v>429</v>
      </c>
      <c r="B422" s="2">
        <v>43986.291666666664</v>
      </c>
      <c r="C422" s="2">
        <v>43986.371527777781</v>
      </c>
      <c r="D422">
        <v>5</v>
      </c>
      <c r="E422" t="s">
        <v>4</v>
      </c>
      <c r="F422" t="s">
        <v>11</v>
      </c>
      <c r="G422" t="s">
        <v>29</v>
      </c>
      <c r="H422">
        <v>73</v>
      </c>
      <c r="I422">
        <v>5.98</v>
      </c>
      <c r="J422">
        <v>2.2400000000000002</v>
      </c>
      <c r="K422" t="s">
        <v>15</v>
      </c>
      <c r="L422">
        <v>65</v>
      </c>
      <c r="M422">
        <v>172</v>
      </c>
      <c r="N422">
        <v>86</v>
      </c>
      <c r="O422">
        <v>55</v>
      </c>
      <c r="P422" t="s">
        <v>44</v>
      </c>
    </row>
    <row r="423" spans="1:16" x14ac:dyDescent="0.25">
      <c r="A423">
        <v>430</v>
      </c>
      <c r="B423" s="2">
        <v>43986.291666666664</v>
      </c>
      <c r="C423" s="2">
        <v>43986.604861111111</v>
      </c>
      <c r="D423">
        <v>4</v>
      </c>
      <c r="E423" t="s">
        <v>4</v>
      </c>
      <c r="F423" t="s">
        <v>10</v>
      </c>
      <c r="G423" t="s">
        <v>23</v>
      </c>
      <c r="H423">
        <v>63</v>
      </c>
      <c r="I423">
        <v>1.73</v>
      </c>
      <c r="J423">
        <v>1.06</v>
      </c>
      <c r="K423" t="s">
        <v>15</v>
      </c>
      <c r="L423">
        <v>95</v>
      </c>
      <c r="M423">
        <v>176</v>
      </c>
      <c r="N423">
        <v>88</v>
      </c>
      <c r="O423">
        <v>60</v>
      </c>
      <c r="P423" t="s">
        <v>44</v>
      </c>
    </row>
    <row r="424" spans="1:16" x14ac:dyDescent="0.25">
      <c r="A424">
        <v>431</v>
      </c>
      <c r="B424" s="2">
        <v>43980.379861111112</v>
      </c>
      <c r="C424" s="2">
        <v>43987.361111111109</v>
      </c>
      <c r="D424">
        <v>3</v>
      </c>
      <c r="E424" t="s">
        <v>4</v>
      </c>
      <c r="F424" t="s">
        <v>3</v>
      </c>
      <c r="G424" t="s">
        <v>33</v>
      </c>
      <c r="H424">
        <v>79</v>
      </c>
      <c r="I424">
        <v>7.46</v>
      </c>
      <c r="J424">
        <v>1.07</v>
      </c>
      <c r="K424" t="s">
        <v>15</v>
      </c>
      <c r="L424">
        <v>72</v>
      </c>
      <c r="M424">
        <v>147</v>
      </c>
      <c r="N424">
        <v>62</v>
      </c>
      <c r="O424">
        <v>46</v>
      </c>
      <c r="P424" t="s">
        <v>46</v>
      </c>
    </row>
    <row r="425" spans="1:16" x14ac:dyDescent="0.25">
      <c r="A425">
        <v>432</v>
      </c>
      <c r="B425" s="2">
        <v>43987.802083333336</v>
      </c>
      <c r="C425" s="2">
        <v>43987.998611111114</v>
      </c>
      <c r="D425">
        <v>1</v>
      </c>
      <c r="E425" t="s">
        <v>2</v>
      </c>
      <c r="F425" t="s">
        <v>5</v>
      </c>
      <c r="G425" t="s">
        <v>33</v>
      </c>
      <c r="H425">
        <v>61</v>
      </c>
      <c r="I425">
        <v>7.01</v>
      </c>
      <c r="J425">
        <v>4.9800000000000004</v>
      </c>
      <c r="K425" t="s">
        <v>15</v>
      </c>
      <c r="L425">
        <v>95</v>
      </c>
      <c r="M425">
        <v>160</v>
      </c>
      <c r="N425">
        <v>90</v>
      </c>
      <c r="O425">
        <v>80</v>
      </c>
      <c r="P425" t="s">
        <v>44</v>
      </c>
    </row>
    <row r="426" spans="1:16" x14ac:dyDescent="0.25">
      <c r="A426">
        <v>433</v>
      </c>
      <c r="B426" s="2">
        <v>43984.624305555553</v>
      </c>
      <c r="C426" s="2">
        <v>43988.354166666664</v>
      </c>
      <c r="D426">
        <v>5</v>
      </c>
      <c r="E426" t="s">
        <v>6</v>
      </c>
      <c r="F426" t="s">
        <v>10</v>
      </c>
      <c r="G426" t="s">
        <v>31</v>
      </c>
      <c r="H426">
        <v>67</v>
      </c>
      <c r="I426">
        <v>6.08</v>
      </c>
      <c r="J426">
        <v>3.15</v>
      </c>
      <c r="K426" t="s">
        <v>15</v>
      </c>
      <c r="L426">
        <v>70</v>
      </c>
      <c r="M426">
        <v>178</v>
      </c>
      <c r="N426">
        <v>80</v>
      </c>
      <c r="O426">
        <v>60</v>
      </c>
      <c r="P426" t="s">
        <v>44</v>
      </c>
    </row>
    <row r="427" spans="1:16" x14ac:dyDescent="0.25">
      <c r="A427">
        <v>434</v>
      </c>
      <c r="B427" s="2">
        <v>43987.65902777778</v>
      </c>
      <c r="C427" s="2">
        <v>43988.477083333331</v>
      </c>
      <c r="D427">
        <v>5</v>
      </c>
      <c r="E427" t="s">
        <v>4</v>
      </c>
      <c r="F427" t="s">
        <v>10</v>
      </c>
      <c r="G427" t="s">
        <v>30</v>
      </c>
      <c r="H427">
        <v>77</v>
      </c>
      <c r="I427">
        <v>7.33</v>
      </c>
      <c r="J427">
        <v>2.56</v>
      </c>
      <c r="K427" t="s">
        <v>15</v>
      </c>
      <c r="L427">
        <v>73</v>
      </c>
      <c r="M427">
        <v>180</v>
      </c>
      <c r="N427">
        <v>93</v>
      </c>
      <c r="O427">
        <v>65</v>
      </c>
      <c r="P427" t="s">
        <v>44</v>
      </c>
    </row>
    <row r="428" spans="1:16" x14ac:dyDescent="0.25">
      <c r="A428">
        <v>435</v>
      </c>
      <c r="B428" s="2">
        <v>43979.458333333336</v>
      </c>
      <c r="C428" s="2">
        <v>43990.35833333333</v>
      </c>
      <c r="D428">
        <v>4</v>
      </c>
      <c r="E428" t="s">
        <v>6</v>
      </c>
      <c r="F428" t="s">
        <v>5</v>
      </c>
      <c r="G428" t="s">
        <v>33</v>
      </c>
      <c r="H428">
        <v>71</v>
      </c>
      <c r="I428">
        <v>11.8</v>
      </c>
      <c r="J428">
        <v>5.58</v>
      </c>
      <c r="K428" t="s">
        <v>13</v>
      </c>
      <c r="L428">
        <v>70</v>
      </c>
      <c r="M428">
        <v>185</v>
      </c>
      <c r="N428">
        <v>101</v>
      </c>
      <c r="O428">
        <v>62</v>
      </c>
      <c r="P428" t="s">
        <v>44</v>
      </c>
    </row>
    <row r="429" spans="1:16" x14ac:dyDescent="0.25">
      <c r="A429">
        <v>436</v>
      </c>
      <c r="B429" s="2">
        <v>43988.458333333336</v>
      </c>
      <c r="C429" s="2">
        <v>43990.429861111108</v>
      </c>
      <c r="D429">
        <v>5</v>
      </c>
      <c r="E429" t="s">
        <v>6</v>
      </c>
      <c r="F429" t="s">
        <v>11</v>
      </c>
      <c r="G429" t="s">
        <v>29</v>
      </c>
      <c r="H429">
        <v>71</v>
      </c>
      <c r="I429">
        <v>3.29</v>
      </c>
      <c r="J429">
        <v>1.61</v>
      </c>
      <c r="K429" t="s">
        <v>15</v>
      </c>
      <c r="L429">
        <v>93</v>
      </c>
      <c r="M429">
        <v>174</v>
      </c>
      <c r="N429">
        <v>78</v>
      </c>
      <c r="O429">
        <v>60</v>
      </c>
      <c r="P429" t="s">
        <v>44</v>
      </c>
    </row>
    <row r="430" spans="1:16" x14ac:dyDescent="0.25">
      <c r="A430">
        <v>437</v>
      </c>
      <c r="B430" s="2">
        <v>43990.291666666664</v>
      </c>
      <c r="C430" s="2">
        <v>43990.60833333333</v>
      </c>
      <c r="D430">
        <v>6</v>
      </c>
      <c r="E430" t="s">
        <v>4</v>
      </c>
      <c r="F430" t="s">
        <v>10</v>
      </c>
      <c r="G430" t="s">
        <v>33</v>
      </c>
      <c r="H430">
        <v>76</v>
      </c>
      <c r="I430">
        <v>5.05</v>
      </c>
      <c r="J430">
        <v>1.49</v>
      </c>
      <c r="K430" t="s">
        <v>15</v>
      </c>
      <c r="L430">
        <v>91</v>
      </c>
      <c r="M430">
        <v>166</v>
      </c>
      <c r="N430">
        <v>78</v>
      </c>
      <c r="O430">
        <v>60</v>
      </c>
      <c r="P430" t="s">
        <v>44</v>
      </c>
    </row>
    <row r="431" spans="1:16" x14ac:dyDescent="0.25">
      <c r="A431">
        <v>438</v>
      </c>
      <c r="B431" s="2">
        <v>43990.663194444445</v>
      </c>
      <c r="C431" s="2">
        <v>43991.347222222219</v>
      </c>
      <c r="D431">
        <v>5</v>
      </c>
      <c r="E431" t="s">
        <v>4</v>
      </c>
      <c r="F431" t="s">
        <v>10</v>
      </c>
      <c r="G431" t="s">
        <v>26</v>
      </c>
      <c r="H431">
        <v>77</v>
      </c>
      <c r="I431">
        <v>4.29</v>
      </c>
      <c r="J431">
        <v>1.49</v>
      </c>
      <c r="K431" t="s">
        <v>15</v>
      </c>
      <c r="L431">
        <v>78</v>
      </c>
      <c r="M431">
        <v>169</v>
      </c>
      <c r="N431">
        <v>82</v>
      </c>
      <c r="O431">
        <v>45</v>
      </c>
      <c r="P431" t="s">
        <v>46</v>
      </c>
    </row>
    <row r="432" spans="1:16" x14ac:dyDescent="0.25">
      <c r="A432">
        <v>439</v>
      </c>
      <c r="B432" s="2">
        <v>43979.751388888886</v>
      </c>
      <c r="C432" s="2">
        <v>43991.347222222219</v>
      </c>
      <c r="D432">
        <v>4</v>
      </c>
      <c r="E432" t="s">
        <v>6</v>
      </c>
      <c r="F432" t="s">
        <v>3</v>
      </c>
      <c r="G432" t="s">
        <v>27</v>
      </c>
      <c r="H432">
        <v>57</v>
      </c>
      <c r="I432">
        <v>3.54</v>
      </c>
      <c r="J432">
        <v>1.26</v>
      </c>
      <c r="K432" t="s">
        <v>15</v>
      </c>
      <c r="L432">
        <v>110</v>
      </c>
      <c r="M432">
        <v>157</v>
      </c>
      <c r="N432">
        <v>64</v>
      </c>
      <c r="O432">
        <v>65</v>
      </c>
      <c r="P432" t="s">
        <v>44</v>
      </c>
    </row>
    <row r="433" spans="1:16" x14ac:dyDescent="0.25">
      <c r="A433">
        <v>440</v>
      </c>
      <c r="B433" s="2">
        <v>43991.291666666664</v>
      </c>
      <c r="C433" s="2">
        <v>43991.6</v>
      </c>
      <c r="D433">
        <v>5</v>
      </c>
      <c r="E433" t="s">
        <v>4</v>
      </c>
      <c r="F433" t="s">
        <v>3</v>
      </c>
      <c r="G433" t="s">
        <v>26</v>
      </c>
      <c r="H433">
        <v>65</v>
      </c>
      <c r="I433">
        <v>5.76</v>
      </c>
      <c r="J433">
        <v>1.64</v>
      </c>
      <c r="K433" t="s">
        <v>15</v>
      </c>
      <c r="L433">
        <v>83</v>
      </c>
      <c r="M433">
        <v>158</v>
      </c>
      <c r="N433">
        <v>48</v>
      </c>
      <c r="O433">
        <v>65</v>
      </c>
      <c r="P433" t="s">
        <v>44</v>
      </c>
    </row>
    <row r="434" spans="1:16" x14ac:dyDescent="0.25">
      <c r="A434">
        <v>441</v>
      </c>
      <c r="B434" s="2">
        <v>43991.291666666664</v>
      </c>
      <c r="C434" s="2">
        <v>43991.675694444442</v>
      </c>
      <c r="D434">
        <v>4</v>
      </c>
      <c r="E434" t="s">
        <v>4</v>
      </c>
      <c r="F434" t="s">
        <v>3</v>
      </c>
      <c r="G434" t="s">
        <v>27</v>
      </c>
      <c r="H434">
        <v>45</v>
      </c>
      <c r="I434">
        <v>1.51</v>
      </c>
      <c r="J434">
        <v>0.5</v>
      </c>
      <c r="K434" t="s">
        <v>15</v>
      </c>
      <c r="L434">
        <v>61</v>
      </c>
      <c r="M434">
        <v>184</v>
      </c>
      <c r="N434">
        <v>111</v>
      </c>
      <c r="O434">
        <v>29</v>
      </c>
      <c r="P434" t="s">
        <v>45</v>
      </c>
    </row>
    <row r="435" spans="1:16" x14ac:dyDescent="0.25">
      <c r="A435">
        <v>442</v>
      </c>
      <c r="B435" s="2">
        <v>43992.291666666664</v>
      </c>
      <c r="C435" s="2">
        <v>43992.385416666664</v>
      </c>
      <c r="D435">
        <v>5</v>
      </c>
      <c r="E435" t="s">
        <v>4</v>
      </c>
      <c r="F435" t="s">
        <v>10</v>
      </c>
      <c r="G435" t="s">
        <v>31</v>
      </c>
      <c r="H435">
        <v>63</v>
      </c>
      <c r="I435">
        <v>1.1499999999999999</v>
      </c>
      <c r="J435">
        <v>0.61</v>
      </c>
      <c r="K435" t="s">
        <v>15</v>
      </c>
      <c r="L435">
        <v>91</v>
      </c>
      <c r="M435">
        <v>157</v>
      </c>
      <c r="N435">
        <v>51</v>
      </c>
      <c r="O435">
        <v>55</v>
      </c>
      <c r="P435" t="s">
        <v>44</v>
      </c>
    </row>
    <row r="436" spans="1:16" x14ac:dyDescent="0.25">
      <c r="A436">
        <v>443</v>
      </c>
      <c r="B436" s="2">
        <v>43988.572222222225</v>
      </c>
      <c r="C436" s="2">
        <v>43992.670138888891</v>
      </c>
      <c r="D436">
        <v>6</v>
      </c>
      <c r="E436" t="s">
        <v>6</v>
      </c>
      <c r="F436" t="s">
        <v>10</v>
      </c>
      <c r="G436" t="s">
        <v>31</v>
      </c>
      <c r="H436">
        <v>71</v>
      </c>
      <c r="I436">
        <v>1.94</v>
      </c>
      <c r="J436">
        <v>1.41</v>
      </c>
      <c r="K436" t="s">
        <v>15</v>
      </c>
      <c r="L436">
        <v>62</v>
      </c>
      <c r="M436">
        <v>166</v>
      </c>
      <c r="N436">
        <v>72</v>
      </c>
      <c r="O436">
        <v>65</v>
      </c>
      <c r="P436" t="s">
        <v>44</v>
      </c>
    </row>
    <row r="437" spans="1:16" x14ac:dyDescent="0.25">
      <c r="A437">
        <v>444</v>
      </c>
      <c r="B437" s="2">
        <v>43986.416666666664</v>
      </c>
      <c r="C437" s="2">
        <v>43993.345138888886</v>
      </c>
      <c r="D437">
        <v>5</v>
      </c>
      <c r="E437" t="s">
        <v>6</v>
      </c>
      <c r="F437" t="s">
        <v>10</v>
      </c>
      <c r="G437" t="s">
        <v>32</v>
      </c>
      <c r="H437">
        <v>80</v>
      </c>
      <c r="I437">
        <v>13.41</v>
      </c>
      <c r="J437">
        <v>3.44</v>
      </c>
      <c r="K437" t="s">
        <v>15</v>
      </c>
      <c r="L437">
        <v>61</v>
      </c>
      <c r="M437">
        <v>150</v>
      </c>
      <c r="N437">
        <v>76</v>
      </c>
      <c r="O437">
        <v>54</v>
      </c>
      <c r="P437" t="s">
        <v>44</v>
      </c>
    </row>
    <row r="438" spans="1:16" x14ac:dyDescent="0.25">
      <c r="A438">
        <v>445</v>
      </c>
      <c r="B438" s="2">
        <v>43992.532638888886</v>
      </c>
      <c r="C438" s="2">
        <v>43993.350694444445</v>
      </c>
      <c r="D438">
        <v>4</v>
      </c>
      <c r="E438" t="s">
        <v>4</v>
      </c>
      <c r="F438" t="s">
        <v>11</v>
      </c>
      <c r="G438" t="s">
        <v>23</v>
      </c>
      <c r="H438">
        <v>75</v>
      </c>
      <c r="I438">
        <v>5.82</v>
      </c>
      <c r="J438">
        <v>1.64</v>
      </c>
      <c r="K438" t="s">
        <v>15</v>
      </c>
      <c r="L438">
        <v>66</v>
      </c>
      <c r="M438">
        <v>172</v>
      </c>
      <c r="N438">
        <v>79</v>
      </c>
      <c r="O438">
        <v>40</v>
      </c>
      <c r="P438" t="s">
        <v>46</v>
      </c>
    </row>
    <row r="439" spans="1:16" x14ac:dyDescent="0.25">
      <c r="A439">
        <v>446</v>
      </c>
      <c r="B439" s="2">
        <v>43990.548611111109</v>
      </c>
      <c r="C439" s="2">
        <v>43993.540277777778</v>
      </c>
      <c r="D439">
        <v>5</v>
      </c>
      <c r="E439" t="s">
        <v>6</v>
      </c>
      <c r="F439" t="s">
        <v>3</v>
      </c>
      <c r="G439" t="s">
        <v>32</v>
      </c>
      <c r="H439">
        <v>84</v>
      </c>
      <c r="I439">
        <v>65.349999999999994</v>
      </c>
      <c r="J439">
        <v>52.94</v>
      </c>
      <c r="K439" t="s">
        <v>15</v>
      </c>
      <c r="L439">
        <v>84</v>
      </c>
      <c r="M439">
        <v>182</v>
      </c>
      <c r="N439">
        <v>96</v>
      </c>
      <c r="O439">
        <v>55</v>
      </c>
      <c r="P439" t="s">
        <v>44</v>
      </c>
    </row>
    <row r="440" spans="1:16" x14ac:dyDescent="0.25">
      <c r="A440">
        <v>447</v>
      </c>
      <c r="B440" s="2">
        <v>43993.291666666664</v>
      </c>
      <c r="C440" s="2">
        <v>43993.586111111108</v>
      </c>
      <c r="D440">
        <v>4</v>
      </c>
      <c r="E440" t="s">
        <v>4</v>
      </c>
      <c r="F440" t="s">
        <v>5</v>
      </c>
      <c r="G440" t="s">
        <v>23</v>
      </c>
      <c r="H440">
        <v>50</v>
      </c>
      <c r="I440">
        <v>2.08</v>
      </c>
      <c r="J440">
        <v>1.07</v>
      </c>
      <c r="K440" t="s">
        <v>15</v>
      </c>
      <c r="L440">
        <v>76</v>
      </c>
      <c r="M440">
        <v>177</v>
      </c>
      <c r="N440">
        <v>72</v>
      </c>
      <c r="O440">
        <v>35</v>
      </c>
      <c r="P440" t="s">
        <v>46</v>
      </c>
    </row>
    <row r="441" spans="1:16" x14ac:dyDescent="0.25">
      <c r="A441">
        <v>448</v>
      </c>
      <c r="B441" s="2">
        <v>43991.458333333336</v>
      </c>
      <c r="C441" s="2">
        <v>43994.354166666664</v>
      </c>
      <c r="D441">
        <v>4</v>
      </c>
      <c r="E441" t="s">
        <v>6</v>
      </c>
      <c r="F441" t="s">
        <v>10</v>
      </c>
      <c r="G441" t="s">
        <v>30</v>
      </c>
      <c r="H441">
        <v>68</v>
      </c>
      <c r="I441">
        <v>23.62</v>
      </c>
      <c r="J441">
        <v>11.13</v>
      </c>
      <c r="K441" t="s">
        <v>15</v>
      </c>
      <c r="L441">
        <v>93</v>
      </c>
      <c r="M441">
        <v>161</v>
      </c>
      <c r="N441">
        <v>64</v>
      </c>
      <c r="O441">
        <v>68</v>
      </c>
      <c r="P441" t="s">
        <v>44</v>
      </c>
    </row>
    <row r="442" spans="1:16" x14ac:dyDescent="0.25">
      <c r="A442">
        <v>449</v>
      </c>
      <c r="B442" s="2">
        <v>43994.291666666664</v>
      </c>
      <c r="C442" s="2">
        <v>43994.401388888888</v>
      </c>
      <c r="D442">
        <v>5</v>
      </c>
      <c r="E442" t="s">
        <v>4</v>
      </c>
      <c r="F442" t="s">
        <v>3</v>
      </c>
      <c r="G442" t="s">
        <v>21</v>
      </c>
      <c r="H442">
        <v>68</v>
      </c>
      <c r="I442">
        <v>7.68</v>
      </c>
      <c r="J442">
        <v>2.37</v>
      </c>
      <c r="K442" t="s">
        <v>15</v>
      </c>
      <c r="L442">
        <v>109</v>
      </c>
      <c r="M442">
        <v>180</v>
      </c>
      <c r="N442">
        <v>100</v>
      </c>
      <c r="O442">
        <v>40</v>
      </c>
      <c r="P442" t="s">
        <v>46</v>
      </c>
    </row>
    <row r="443" spans="1:16" x14ac:dyDescent="0.25">
      <c r="A443">
        <v>450</v>
      </c>
      <c r="B443" s="2">
        <v>43991.416666666664</v>
      </c>
      <c r="C443" s="2">
        <v>43994.586805555555</v>
      </c>
      <c r="D443">
        <v>4</v>
      </c>
      <c r="E443" t="s">
        <v>4</v>
      </c>
      <c r="F443" t="s">
        <v>10</v>
      </c>
      <c r="G443" t="s">
        <v>30</v>
      </c>
      <c r="H443">
        <v>65</v>
      </c>
      <c r="I443">
        <v>2.2400000000000002</v>
      </c>
      <c r="J443">
        <v>0.9</v>
      </c>
      <c r="K443" t="s">
        <v>15</v>
      </c>
      <c r="L443">
        <v>71</v>
      </c>
      <c r="M443">
        <v>166</v>
      </c>
      <c r="N443">
        <v>90</v>
      </c>
      <c r="O443">
        <v>58</v>
      </c>
      <c r="P443" t="s">
        <v>44</v>
      </c>
    </row>
    <row r="444" spans="1:16" x14ac:dyDescent="0.25">
      <c r="A444">
        <v>451</v>
      </c>
      <c r="B444" s="2">
        <v>43992.436805555553</v>
      </c>
      <c r="C444" s="2">
        <v>43994.611111111109</v>
      </c>
      <c r="D444">
        <v>5</v>
      </c>
      <c r="E444" t="s">
        <v>6</v>
      </c>
      <c r="F444" t="s">
        <v>10</v>
      </c>
      <c r="G444" t="s">
        <v>21</v>
      </c>
      <c r="H444">
        <v>77</v>
      </c>
      <c r="I444">
        <v>9.73</v>
      </c>
      <c r="J444">
        <v>6.63</v>
      </c>
      <c r="K444" t="s">
        <v>15</v>
      </c>
      <c r="L444">
        <v>79</v>
      </c>
      <c r="M444">
        <v>170</v>
      </c>
      <c r="N444">
        <v>92</v>
      </c>
      <c r="O444">
        <v>75</v>
      </c>
      <c r="P444" t="s">
        <v>44</v>
      </c>
    </row>
    <row r="445" spans="1:16" x14ac:dyDescent="0.25">
      <c r="A445">
        <v>452</v>
      </c>
      <c r="B445" s="2">
        <v>43994.40347222222</v>
      </c>
      <c r="C445" s="2">
        <v>43994.763888888891</v>
      </c>
      <c r="D445">
        <v>3</v>
      </c>
      <c r="E445" t="s">
        <v>2</v>
      </c>
      <c r="F445" t="s">
        <v>7</v>
      </c>
      <c r="G445" t="s">
        <v>28</v>
      </c>
      <c r="H445">
        <v>88</v>
      </c>
      <c r="I445">
        <v>14.84</v>
      </c>
      <c r="J445">
        <v>2.74</v>
      </c>
      <c r="K445" t="s">
        <v>15</v>
      </c>
      <c r="L445">
        <v>63</v>
      </c>
      <c r="M445">
        <v>167</v>
      </c>
      <c r="N445">
        <v>55</v>
      </c>
      <c r="O445">
        <v>62</v>
      </c>
      <c r="P445" t="s">
        <v>44</v>
      </c>
    </row>
    <row r="446" spans="1:16" x14ac:dyDescent="0.25">
      <c r="A446">
        <v>453</v>
      </c>
      <c r="B446" s="2">
        <v>43993.416666666664</v>
      </c>
      <c r="C446" s="2">
        <v>43995.336805555555</v>
      </c>
      <c r="D446">
        <v>4</v>
      </c>
      <c r="E446" t="s">
        <v>6</v>
      </c>
      <c r="F446" t="s">
        <v>3</v>
      </c>
      <c r="G446" t="s">
        <v>35</v>
      </c>
      <c r="H446">
        <v>82</v>
      </c>
      <c r="I446">
        <v>6.61</v>
      </c>
      <c r="J446">
        <v>1.28</v>
      </c>
      <c r="K446" t="s">
        <v>15</v>
      </c>
      <c r="L446">
        <v>74</v>
      </c>
      <c r="M446">
        <v>168</v>
      </c>
      <c r="N446">
        <v>122</v>
      </c>
      <c r="O446">
        <v>55</v>
      </c>
      <c r="P446" t="s">
        <v>44</v>
      </c>
    </row>
    <row r="447" spans="1:16" x14ac:dyDescent="0.25">
      <c r="A447">
        <v>454</v>
      </c>
      <c r="B447" s="2">
        <v>43983.75</v>
      </c>
      <c r="C447" s="2">
        <v>43995.354166666664</v>
      </c>
      <c r="D447">
        <v>5</v>
      </c>
      <c r="E447" t="s">
        <v>6</v>
      </c>
      <c r="F447" t="s">
        <v>3</v>
      </c>
      <c r="G447" t="s">
        <v>28</v>
      </c>
      <c r="H447">
        <v>57</v>
      </c>
      <c r="I447">
        <v>8.67</v>
      </c>
      <c r="J447">
        <v>3.43</v>
      </c>
      <c r="K447" t="s">
        <v>15</v>
      </c>
      <c r="L447">
        <v>68</v>
      </c>
      <c r="M447">
        <v>178</v>
      </c>
      <c r="N447">
        <v>123</v>
      </c>
      <c r="O447">
        <v>55</v>
      </c>
      <c r="P447" t="s">
        <v>44</v>
      </c>
    </row>
    <row r="448" spans="1:16" x14ac:dyDescent="0.25">
      <c r="A448">
        <v>455</v>
      </c>
      <c r="B448" s="2">
        <v>43994.895833333336</v>
      </c>
      <c r="C448" s="2">
        <v>43995.541666666664</v>
      </c>
      <c r="D448">
        <v>5</v>
      </c>
      <c r="E448" t="s">
        <v>2</v>
      </c>
      <c r="F448" t="s">
        <v>3</v>
      </c>
      <c r="G448" t="s">
        <v>28</v>
      </c>
      <c r="H448">
        <v>79</v>
      </c>
      <c r="I448">
        <v>70.7</v>
      </c>
      <c r="J448">
        <v>15.51</v>
      </c>
      <c r="K448" t="s">
        <v>15</v>
      </c>
      <c r="L448">
        <v>67</v>
      </c>
      <c r="M448">
        <v>163</v>
      </c>
      <c r="N448">
        <v>74</v>
      </c>
      <c r="O448">
        <v>55</v>
      </c>
      <c r="P448" t="s">
        <v>44</v>
      </c>
    </row>
    <row r="449" spans="1:16" x14ac:dyDescent="0.25">
      <c r="A449">
        <v>456</v>
      </c>
      <c r="B449" s="2">
        <v>43995.291666666664</v>
      </c>
      <c r="C449" s="2">
        <v>43995.545138888891</v>
      </c>
      <c r="D449">
        <v>4</v>
      </c>
      <c r="E449" t="s">
        <v>4</v>
      </c>
      <c r="F449" t="s">
        <v>3</v>
      </c>
      <c r="G449" t="s">
        <v>35</v>
      </c>
      <c r="H449">
        <v>55</v>
      </c>
      <c r="I449">
        <v>1.51</v>
      </c>
      <c r="J449">
        <v>0.5</v>
      </c>
      <c r="K449" t="s">
        <v>15</v>
      </c>
      <c r="L449">
        <v>156</v>
      </c>
      <c r="M449">
        <v>175</v>
      </c>
      <c r="N449">
        <v>66</v>
      </c>
      <c r="O449">
        <v>75</v>
      </c>
      <c r="P449" t="s">
        <v>44</v>
      </c>
    </row>
    <row r="450" spans="1:16" x14ac:dyDescent="0.25">
      <c r="A450">
        <v>457</v>
      </c>
      <c r="B450" s="2">
        <v>43994.457638888889</v>
      </c>
      <c r="C450" s="2">
        <v>43997.342361111114</v>
      </c>
      <c r="D450">
        <v>4</v>
      </c>
      <c r="E450" t="s">
        <v>6</v>
      </c>
      <c r="F450" t="s">
        <v>3</v>
      </c>
      <c r="G450" t="s">
        <v>32</v>
      </c>
      <c r="H450">
        <v>81</v>
      </c>
      <c r="I450">
        <v>8.44</v>
      </c>
      <c r="J450">
        <v>5.96</v>
      </c>
      <c r="K450" t="s">
        <v>15</v>
      </c>
      <c r="L450">
        <v>190</v>
      </c>
      <c r="M450">
        <v>165</v>
      </c>
      <c r="N450">
        <v>108</v>
      </c>
      <c r="O450">
        <v>40</v>
      </c>
      <c r="P450" t="s">
        <v>46</v>
      </c>
    </row>
    <row r="451" spans="1:16" x14ac:dyDescent="0.25">
      <c r="A451">
        <v>458</v>
      </c>
      <c r="B451" s="2">
        <v>43986.859722222223</v>
      </c>
      <c r="C451" s="2">
        <v>43997.34375</v>
      </c>
      <c r="D451">
        <v>5</v>
      </c>
      <c r="E451" t="s">
        <v>6</v>
      </c>
      <c r="F451" t="s">
        <v>11</v>
      </c>
      <c r="G451" t="s">
        <v>29</v>
      </c>
      <c r="H451">
        <v>65</v>
      </c>
      <c r="I451">
        <v>10.52</v>
      </c>
      <c r="J451">
        <v>4.62</v>
      </c>
      <c r="K451" t="s">
        <v>15</v>
      </c>
      <c r="L451">
        <v>85</v>
      </c>
      <c r="M451">
        <v>155</v>
      </c>
      <c r="N451">
        <v>56</v>
      </c>
      <c r="O451">
        <v>70</v>
      </c>
      <c r="P451" t="s">
        <v>44</v>
      </c>
    </row>
    <row r="452" spans="1:16" x14ac:dyDescent="0.25">
      <c r="A452">
        <v>459</v>
      </c>
      <c r="B452" s="2">
        <v>43997.291666666664</v>
      </c>
      <c r="C452" s="2">
        <v>43997.354166666664</v>
      </c>
      <c r="D452">
        <v>3</v>
      </c>
      <c r="E452" t="s">
        <v>4</v>
      </c>
      <c r="F452" t="s">
        <v>11</v>
      </c>
      <c r="G452" t="s">
        <v>27</v>
      </c>
      <c r="H452">
        <v>71</v>
      </c>
      <c r="I452">
        <v>4.92</v>
      </c>
      <c r="J452">
        <v>1.78</v>
      </c>
      <c r="K452" t="s">
        <v>15</v>
      </c>
      <c r="L452">
        <v>75</v>
      </c>
      <c r="M452">
        <v>174</v>
      </c>
      <c r="N452">
        <v>81</v>
      </c>
      <c r="O452">
        <v>58</v>
      </c>
      <c r="P452" t="s">
        <v>44</v>
      </c>
    </row>
    <row r="453" spans="1:16" x14ac:dyDescent="0.25">
      <c r="A453">
        <v>460</v>
      </c>
      <c r="B453" s="2">
        <v>43994.458333333336</v>
      </c>
      <c r="C453" s="2">
        <v>43997.506944444445</v>
      </c>
      <c r="D453">
        <v>4</v>
      </c>
      <c r="E453" t="s">
        <v>6</v>
      </c>
      <c r="F453" t="s">
        <v>11</v>
      </c>
      <c r="G453" t="s">
        <v>33</v>
      </c>
      <c r="H453">
        <v>81</v>
      </c>
      <c r="I453">
        <v>14.81</v>
      </c>
      <c r="J453">
        <v>6.25</v>
      </c>
      <c r="K453" t="s">
        <v>15</v>
      </c>
      <c r="L453">
        <v>68</v>
      </c>
      <c r="M453">
        <v>167</v>
      </c>
      <c r="N453">
        <v>63</v>
      </c>
      <c r="O453">
        <v>50</v>
      </c>
      <c r="P453" t="s">
        <v>46</v>
      </c>
    </row>
    <row r="454" spans="1:16" x14ac:dyDescent="0.25">
      <c r="A454">
        <v>461</v>
      </c>
      <c r="B454" s="2">
        <v>43997.291666666664</v>
      </c>
      <c r="C454" s="2">
        <v>43997.65625</v>
      </c>
      <c r="D454">
        <v>5</v>
      </c>
      <c r="E454" t="s">
        <v>4</v>
      </c>
      <c r="F454" t="s">
        <v>1</v>
      </c>
      <c r="G454" t="s">
        <v>29</v>
      </c>
      <c r="H454">
        <v>74</v>
      </c>
      <c r="I454">
        <v>15.56</v>
      </c>
      <c r="J454">
        <v>3.01</v>
      </c>
      <c r="K454" t="s">
        <v>15</v>
      </c>
      <c r="L454">
        <v>72</v>
      </c>
      <c r="M454">
        <v>167</v>
      </c>
      <c r="N454">
        <v>88</v>
      </c>
      <c r="O454">
        <v>38</v>
      </c>
      <c r="P454" t="s">
        <v>46</v>
      </c>
    </row>
    <row r="455" spans="1:16" x14ac:dyDescent="0.25">
      <c r="A455">
        <v>462</v>
      </c>
      <c r="B455" s="2">
        <v>43987.416666666664</v>
      </c>
      <c r="C455" s="2">
        <v>43998.340277777781</v>
      </c>
      <c r="D455">
        <v>3</v>
      </c>
      <c r="E455" t="s">
        <v>6</v>
      </c>
      <c r="F455" t="s">
        <v>3</v>
      </c>
      <c r="G455" t="s">
        <v>31</v>
      </c>
      <c r="H455">
        <v>63</v>
      </c>
      <c r="I455">
        <v>1.96</v>
      </c>
      <c r="J455">
        <v>1</v>
      </c>
      <c r="K455" t="s">
        <v>15</v>
      </c>
      <c r="L455">
        <v>65</v>
      </c>
      <c r="M455">
        <v>170</v>
      </c>
      <c r="N455">
        <v>69</v>
      </c>
      <c r="O455">
        <v>49</v>
      </c>
      <c r="P455" t="s">
        <v>46</v>
      </c>
    </row>
    <row r="456" spans="1:16" x14ac:dyDescent="0.25">
      <c r="A456">
        <v>463</v>
      </c>
      <c r="B456" s="2">
        <v>43992.767361111109</v>
      </c>
      <c r="C456" s="2">
        <v>43998.34375</v>
      </c>
      <c r="D456">
        <v>4</v>
      </c>
      <c r="E456" t="s">
        <v>4</v>
      </c>
      <c r="F456" t="s">
        <v>3</v>
      </c>
      <c r="G456" t="s">
        <v>35</v>
      </c>
      <c r="H456">
        <v>52</v>
      </c>
      <c r="I456">
        <v>1.51</v>
      </c>
      <c r="J456">
        <v>0.86</v>
      </c>
      <c r="K456" t="s">
        <v>15</v>
      </c>
      <c r="L456">
        <v>93</v>
      </c>
      <c r="M456">
        <v>152</v>
      </c>
      <c r="N456">
        <v>63</v>
      </c>
      <c r="O456">
        <v>57</v>
      </c>
      <c r="P456" t="s">
        <v>44</v>
      </c>
    </row>
    <row r="457" spans="1:16" x14ac:dyDescent="0.25">
      <c r="A457">
        <v>464</v>
      </c>
      <c r="B457" s="2">
        <v>43998.291666666664</v>
      </c>
      <c r="C457" s="2">
        <v>43998.381944444445</v>
      </c>
      <c r="D457">
        <v>5</v>
      </c>
      <c r="E457" t="s">
        <v>4</v>
      </c>
      <c r="F457" t="s">
        <v>10</v>
      </c>
      <c r="G457" t="s">
        <v>26</v>
      </c>
      <c r="H457">
        <v>79</v>
      </c>
      <c r="I457">
        <v>3.26</v>
      </c>
      <c r="J457">
        <v>1.1499999999999999</v>
      </c>
      <c r="K457" t="s">
        <v>15</v>
      </c>
      <c r="L457">
        <v>72</v>
      </c>
      <c r="M457">
        <v>185</v>
      </c>
      <c r="N457">
        <v>102</v>
      </c>
      <c r="O457">
        <v>60</v>
      </c>
      <c r="P457" t="s">
        <v>44</v>
      </c>
    </row>
    <row r="458" spans="1:16" x14ac:dyDescent="0.25">
      <c r="A458">
        <v>465</v>
      </c>
      <c r="B458" s="2">
        <v>43998.291666666664</v>
      </c>
      <c r="C458" s="2">
        <v>43998.53125</v>
      </c>
      <c r="D458">
        <v>3</v>
      </c>
      <c r="E458" t="s">
        <v>4</v>
      </c>
      <c r="F458" t="s">
        <v>10</v>
      </c>
      <c r="G458" t="s">
        <v>31</v>
      </c>
      <c r="H458">
        <v>73</v>
      </c>
      <c r="I458">
        <v>2.21</v>
      </c>
      <c r="J458">
        <v>0.97</v>
      </c>
      <c r="K458" t="s">
        <v>15</v>
      </c>
      <c r="L458">
        <v>73</v>
      </c>
      <c r="M458">
        <v>170</v>
      </c>
      <c r="N458">
        <v>120</v>
      </c>
      <c r="O458">
        <v>40</v>
      </c>
      <c r="P458" t="s">
        <v>46</v>
      </c>
    </row>
    <row r="459" spans="1:16" x14ac:dyDescent="0.25">
      <c r="A459">
        <v>466</v>
      </c>
      <c r="B459" s="2">
        <v>43998.291666666664</v>
      </c>
      <c r="C459" s="2">
        <v>43998.638888888891</v>
      </c>
      <c r="D459">
        <v>4</v>
      </c>
      <c r="E459" t="s">
        <v>4</v>
      </c>
      <c r="F459" t="s">
        <v>3</v>
      </c>
      <c r="G459" t="s">
        <v>35</v>
      </c>
      <c r="H459">
        <v>44</v>
      </c>
      <c r="I459">
        <v>2.08</v>
      </c>
      <c r="J459">
        <v>0.62</v>
      </c>
      <c r="K459" t="s">
        <v>14</v>
      </c>
      <c r="L459">
        <v>71</v>
      </c>
      <c r="M459">
        <v>172</v>
      </c>
      <c r="N459">
        <v>57</v>
      </c>
      <c r="O459">
        <v>65</v>
      </c>
      <c r="P459" t="s">
        <v>44</v>
      </c>
    </row>
    <row r="460" spans="1:16" x14ac:dyDescent="0.25">
      <c r="A460">
        <v>467</v>
      </c>
      <c r="B460" s="2">
        <v>43998.291666666664</v>
      </c>
      <c r="C460" s="2">
        <v>43998.695138888892</v>
      </c>
      <c r="D460">
        <v>5</v>
      </c>
      <c r="E460" t="s">
        <v>4</v>
      </c>
      <c r="F460" t="s">
        <v>11</v>
      </c>
      <c r="G460" t="s">
        <v>26</v>
      </c>
      <c r="H460">
        <v>83</v>
      </c>
      <c r="I460">
        <v>9.52</v>
      </c>
      <c r="J460">
        <v>3.67</v>
      </c>
      <c r="K460" t="s">
        <v>15</v>
      </c>
      <c r="L460">
        <v>88</v>
      </c>
      <c r="M460">
        <v>153</v>
      </c>
      <c r="N460">
        <v>59</v>
      </c>
      <c r="O460">
        <v>73</v>
      </c>
      <c r="P460" t="s">
        <v>44</v>
      </c>
    </row>
    <row r="461" spans="1:16" x14ac:dyDescent="0.25">
      <c r="A461">
        <v>468</v>
      </c>
      <c r="B461" s="2">
        <v>43997.291666666664</v>
      </c>
      <c r="C461" s="2">
        <v>43999.336805555555</v>
      </c>
      <c r="D461">
        <v>4</v>
      </c>
      <c r="E461" t="s">
        <v>4</v>
      </c>
      <c r="F461" t="s">
        <v>3</v>
      </c>
      <c r="G461" t="s">
        <v>27</v>
      </c>
      <c r="H461">
        <v>69</v>
      </c>
      <c r="I461">
        <v>3.98</v>
      </c>
      <c r="J461">
        <v>0.9</v>
      </c>
      <c r="K461" t="s">
        <v>15</v>
      </c>
      <c r="L461">
        <v>74</v>
      </c>
      <c r="M461">
        <v>162</v>
      </c>
      <c r="N461">
        <v>62</v>
      </c>
      <c r="O461">
        <v>57</v>
      </c>
      <c r="P461" t="s">
        <v>44</v>
      </c>
    </row>
    <row r="462" spans="1:16" x14ac:dyDescent="0.25">
      <c r="A462">
        <v>469</v>
      </c>
      <c r="B462" s="2">
        <v>43994.397222222222</v>
      </c>
      <c r="C462" s="2">
        <v>43999.347222222219</v>
      </c>
      <c r="D462">
        <v>3</v>
      </c>
      <c r="E462" t="s">
        <v>4</v>
      </c>
      <c r="F462" t="s">
        <v>11</v>
      </c>
      <c r="G462" t="s">
        <v>28</v>
      </c>
      <c r="H462">
        <v>75</v>
      </c>
      <c r="I462">
        <v>6.78</v>
      </c>
      <c r="J462">
        <v>2.12</v>
      </c>
      <c r="K462" t="s">
        <v>15</v>
      </c>
      <c r="L462">
        <v>125</v>
      </c>
      <c r="M462">
        <v>171</v>
      </c>
      <c r="N462">
        <v>119</v>
      </c>
      <c r="O462">
        <v>55</v>
      </c>
      <c r="P462" t="s">
        <v>44</v>
      </c>
    </row>
    <row r="463" spans="1:16" x14ac:dyDescent="0.25">
      <c r="A463">
        <v>470</v>
      </c>
      <c r="B463" s="2">
        <v>43996.863194444442</v>
      </c>
      <c r="C463" s="2">
        <v>43999.569444444445</v>
      </c>
      <c r="D463">
        <v>4</v>
      </c>
      <c r="E463" t="s">
        <v>6</v>
      </c>
      <c r="F463" t="s">
        <v>10</v>
      </c>
      <c r="G463" t="s">
        <v>27</v>
      </c>
      <c r="H463">
        <v>67</v>
      </c>
      <c r="I463">
        <v>16.2</v>
      </c>
      <c r="J463">
        <v>8.35</v>
      </c>
      <c r="K463" t="s">
        <v>15</v>
      </c>
      <c r="L463">
        <v>105</v>
      </c>
      <c r="M463">
        <v>177</v>
      </c>
      <c r="N463">
        <v>87</v>
      </c>
      <c r="O463">
        <v>65</v>
      </c>
      <c r="P463" t="s">
        <v>44</v>
      </c>
    </row>
    <row r="464" spans="1:16" x14ac:dyDescent="0.25">
      <c r="A464">
        <v>471</v>
      </c>
      <c r="B464" s="2">
        <v>43999.291666666664</v>
      </c>
      <c r="C464" s="2">
        <v>43999.666666666664</v>
      </c>
      <c r="D464">
        <v>6</v>
      </c>
      <c r="E464" t="s">
        <v>4</v>
      </c>
      <c r="F464" t="s">
        <v>3</v>
      </c>
      <c r="G464" t="s">
        <v>28</v>
      </c>
      <c r="H464">
        <v>61</v>
      </c>
      <c r="I464">
        <v>2.37</v>
      </c>
      <c r="J464">
        <v>1.1200000000000001</v>
      </c>
      <c r="K464" t="s">
        <v>15</v>
      </c>
      <c r="L464">
        <v>107</v>
      </c>
      <c r="M464">
        <v>174</v>
      </c>
      <c r="N464">
        <v>75</v>
      </c>
      <c r="O464">
        <v>60</v>
      </c>
      <c r="P464" t="s">
        <v>44</v>
      </c>
    </row>
    <row r="465" spans="1:16" x14ac:dyDescent="0.25">
      <c r="A465">
        <v>472</v>
      </c>
      <c r="B465" s="2">
        <v>44000.291666666664</v>
      </c>
      <c r="C465" s="2">
        <v>44000.347222222219</v>
      </c>
      <c r="D465">
        <v>4</v>
      </c>
      <c r="E465" t="s">
        <v>4</v>
      </c>
      <c r="F465" t="s">
        <v>3</v>
      </c>
      <c r="G465" t="s">
        <v>23</v>
      </c>
      <c r="H465">
        <v>52</v>
      </c>
      <c r="I465">
        <v>1.51</v>
      </c>
      <c r="J465">
        <v>0.56000000000000005</v>
      </c>
      <c r="K465" t="s">
        <v>15</v>
      </c>
      <c r="L465">
        <v>112</v>
      </c>
      <c r="M465">
        <v>175</v>
      </c>
      <c r="N465">
        <v>70</v>
      </c>
      <c r="O465">
        <v>51</v>
      </c>
      <c r="P465" t="s">
        <v>44</v>
      </c>
    </row>
    <row r="466" spans="1:16" x14ac:dyDescent="0.25">
      <c r="A466">
        <v>473</v>
      </c>
      <c r="B466" s="2">
        <v>43999.3125</v>
      </c>
      <c r="C466" s="2">
        <v>44000.352777777778</v>
      </c>
      <c r="D466">
        <v>5</v>
      </c>
      <c r="E466" t="s">
        <v>4</v>
      </c>
      <c r="F466" t="s">
        <v>5</v>
      </c>
      <c r="G466" t="s">
        <v>32</v>
      </c>
      <c r="H466">
        <v>78</v>
      </c>
      <c r="I466">
        <v>20.64</v>
      </c>
      <c r="J466">
        <v>9.07</v>
      </c>
      <c r="K466" t="s">
        <v>15</v>
      </c>
      <c r="L466">
        <v>81</v>
      </c>
      <c r="M466">
        <v>173</v>
      </c>
      <c r="N466">
        <v>70</v>
      </c>
      <c r="O466">
        <v>19</v>
      </c>
      <c r="P466" t="s">
        <v>47</v>
      </c>
    </row>
    <row r="467" spans="1:16" x14ac:dyDescent="0.25">
      <c r="A467">
        <v>474</v>
      </c>
      <c r="B467" s="2">
        <v>44000.291666666664</v>
      </c>
      <c r="C467" s="2">
        <v>44000.564583333333</v>
      </c>
      <c r="D467">
        <v>4</v>
      </c>
      <c r="E467" t="s">
        <v>4</v>
      </c>
      <c r="F467" t="s">
        <v>10</v>
      </c>
      <c r="G467" t="s">
        <v>23</v>
      </c>
      <c r="H467">
        <v>58</v>
      </c>
      <c r="I467">
        <v>1.33</v>
      </c>
      <c r="J467">
        <v>2.0099999999999998</v>
      </c>
      <c r="K467" t="s">
        <v>15</v>
      </c>
      <c r="L467">
        <v>86</v>
      </c>
      <c r="M467">
        <v>165</v>
      </c>
      <c r="N467">
        <v>58</v>
      </c>
      <c r="O467">
        <v>65</v>
      </c>
      <c r="P467" t="s">
        <v>44</v>
      </c>
    </row>
    <row r="468" spans="1:16" x14ac:dyDescent="0.25">
      <c r="A468">
        <v>475</v>
      </c>
      <c r="B468" s="2">
        <v>44000.291666666664</v>
      </c>
      <c r="C468" s="2">
        <v>44000.568055555559</v>
      </c>
      <c r="D468">
        <v>3</v>
      </c>
      <c r="E468" t="s">
        <v>4</v>
      </c>
      <c r="F468" t="s">
        <v>3</v>
      </c>
      <c r="G468" t="s">
        <v>32</v>
      </c>
      <c r="H468">
        <v>88</v>
      </c>
      <c r="I468">
        <v>12.81</v>
      </c>
      <c r="J468">
        <v>4.46</v>
      </c>
      <c r="K468" t="s">
        <v>15</v>
      </c>
      <c r="L468">
        <v>116</v>
      </c>
      <c r="M468">
        <v>173</v>
      </c>
      <c r="N468">
        <v>85</v>
      </c>
      <c r="O468">
        <v>66</v>
      </c>
      <c r="P468" t="s">
        <v>44</v>
      </c>
    </row>
    <row r="469" spans="1:16" x14ac:dyDescent="0.25">
      <c r="A469">
        <v>476</v>
      </c>
      <c r="B469" s="2">
        <v>44001.291666666664</v>
      </c>
      <c r="C469" s="2">
        <v>44001.347222222219</v>
      </c>
      <c r="D469">
        <v>4</v>
      </c>
      <c r="E469" t="s">
        <v>4</v>
      </c>
      <c r="F469" t="s">
        <v>1</v>
      </c>
      <c r="G469" t="s">
        <v>23</v>
      </c>
      <c r="H469">
        <v>52</v>
      </c>
      <c r="I469">
        <v>6.35</v>
      </c>
      <c r="J469">
        <v>1.19</v>
      </c>
      <c r="K469" t="s">
        <v>15</v>
      </c>
      <c r="L469">
        <v>97</v>
      </c>
      <c r="M469">
        <v>169</v>
      </c>
      <c r="N469">
        <v>101</v>
      </c>
      <c r="O469">
        <v>58</v>
      </c>
      <c r="P469" t="s">
        <v>44</v>
      </c>
    </row>
    <row r="470" spans="1:16" x14ac:dyDescent="0.25">
      <c r="A470">
        <v>477</v>
      </c>
      <c r="B470" s="2">
        <v>44001.291666666664</v>
      </c>
      <c r="C470" s="2">
        <v>44001.354166666664</v>
      </c>
      <c r="D470">
        <v>3</v>
      </c>
      <c r="E470" t="s">
        <v>4</v>
      </c>
      <c r="F470" t="s">
        <v>3</v>
      </c>
      <c r="G470" t="s">
        <v>35</v>
      </c>
      <c r="H470">
        <v>65</v>
      </c>
      <c r="I470">
        <v>4.5999999999999996</v>
      </c>
      <c r="J470">
        <v>1.0900000000000001</v>
      </c>
      <c r="K470" t="s">
        <v>15</v>
      </c>
      <c r="L470">
        <v>89</v>
      </c>
      <c r="M470">
        <v>170</v>
      </c>
      <c r="N470">
        <v>123</v>
      </c>
      <c r="O470">
        <v>60</v>
      </c>
      <c r="P470" t="s">
        <v>44</v>
      </c>
    </row>
    <row r="471" spans="1:16" x14ac:dyDescent="0.25">
      <c r="A471">
        <v>478</v>
      </c>
      <c r="B471" s="2">
        <v>44001.291666666664</v>
      </c>
      <c r="C471" s="2">
        <v>44001.545138888891</v>
      </c>
      <c r="D471">
        <v>3</v>
      </c>
      <c r="E471" t="s">
        <v>4</v>
      </c>
      <c r="F471" t="s">
        <v>3</v>
      </c>
      <c r="G471" t="s">
        <v>35</v>
      </c>
      <c r="H471">
        <v>60</v>
      </c>
      <c r="I471">
        <v>4.6500000000000004</v>
      </c>
      <c r="J471">
        <v>1.77</v>
      </c>
      <c r="K471" t="s">
        <v>15</v>
      </c>
      <c r="L471">
        <v>81</v>
      </c>
      <c r="M471">
        <v>173</v>
      </c>
      <c r="N471">
        <v>85</v>
      </c>
      <c r="O471">
        <v>39</v>
      </c>
      <c r="P471" t="s">
        <v>46</v>
      </c>
    </row>
    <row r="472" spans="1:16" x14ac:dyDescent="0.25">
      <c r="A472">
        <v>479</v>
      </c>
      <c r="B472" s="2">
        <v>44001.291666666664</v>
      </c>
      <c r="C472" s="2">
        <v>44001.629166666666</v>
      </c>
      <c r="D472">
        <v>4</v>
      </c>
      <c r="E472" t="s">
        <v>4</v>
      </c>
      <c r="F472" t="s">
        <v>3</v>
      </c>
      <c r="G472" t="s">
        <v>23</v>
      </c>
      <c r="H472">
        <v>40</v>
      </c>
      <c r="I472">
        <v>1.51</v>
      </c>
      <c r="J472">
        <v>0.5</v>
      </c>
      <c r="K472" t="s">
        <v>15</v>
      </c>
      <c r="L472">
        <v>97</v>
      </c>
      <c r="M472">
        <v>175</v>
      </c>
      <c r="N472">
        <v>76</v>
      </c>
      <c r="O472">
        <v>50</v>
      </c>
      <c r="P472" t="s">
        <v>46</v>
      </c>
    </row>
    <row r="473" spans="1:16" x14ac:dyDescent="0.25">
      <c r="A473">
        <v>480</v>
      </c>
      <c r="B473" s="2">
        <v>43986.576388888891</v>
      </c>
      <c r="C473" s="2">
        <v>44002.347222222219</v>
      </c>
      <c r="D473">
        <v>4</v>
      </c>
      <c r="E473" t="s">
        <v>6</v>
      </c>
      <c r="F473" t="s">
        <v>10</v>
      </c>
      <c r="G473" t="s">
        <v>27</v>
      </c>
      <c r="H473">
        <v>72</v>
      </c>
      <c r="I473">
        <v>2.0699999999999998</v>
      </c>
      <c r="J473">
        <v>0.97</v>
      </c>
      <c r="K473" t="s">
        <v>15</v>
      </c>
      <c r="L473">
        <v>71</v>
      </c>
      <c r="M473">
        <v>160</v>
      </c>
      <c r="N473">
        <v>60</v>
      </c>
      <c r="O473">
        <v>60</v>
      </c>
      <c r="P473" t="s">
        <v>44</v>
      </c>
    </row>
    <row r="474" spans="1:16" x14ac:dyDescent="0.25">
      <c r="A474">
        <v>481</v>
      </c>
      <c r="B474" s="2">
        <v>44002.291666666664</v>
      </c>
      <c r="C474" s="2">
        <v>44002.618055555555</v>
      </c>
      <c r="D474">
        <v>4</v>
      </c>
      <c r="E474" t="s">
        <v>4</v>
      </c>
      <c r="F474" t="s">
        <v>3</v>
      </c>
      <c r="G474" t="s">
        <v>27</v>
      </c>
      <c r="H474">
        <v>69</v>
      </c>
      <c r="I474">
        <v>2.89</v>
      </c>
      <c r="J474">
        <v>0.65</v>
      </c>
      <c r="K474" t="s">
        <v>15</v>
      </c>
      <c r="L474">
        <v>78</v>
      </c>
      <c r="M474">
        <v>173</v>
      </c>
      <c r="N474">
        <v>76</v>
      </c>
      <c r="O474">
        <v>45</v>
      </c>
      <c r="P474" t="s">
        <v>46</v>
      </c>
    </row>
    <row r="475" spans="1:16" x14ac:dyDescent="0.25">
      <c r="A475">
        <v>482</v>
      </c>
      <c r="B475" s="2">
        <v>44003.086111111108</v>
      </c>
      <c r="C475" s="2">
        <v>44003.125</v>
      </c>
      <c r="D475">
        <v>1</v>
      </c>
      <c r="E475" t="s">
        <v>2</v>
      </c>
      <c r="F475" t="s">
        <v>1</v>
      </c>
      <c r="G475" t="s">
        <v>24</v>
      </c>
      <c r="H475">
        <v>61</v>
      </c>
      <c r="I475">
        <v>13.65</v>
      </c>
      <c r="J475">
        <v>5.54</v>
      </c>
      <c r="K475" t="s">
        <v>15</v>
      </c>
      <c r="L475">
        <v>88</v>
      </c>
      <c r="M475">
        <v>167</v>
      </c>
      <c r="N475">
        <v>70</v>
      </c>
      <c r="O475">
        <v>50</v>
      </c>
      <c r="P475" t="s">
        <v>46</v>
      </c>
    </row>
    <row r="476" spans="1:16" x14ac:dyDescent="0.25">
      <c r="A476">
        <v>483</v>
      </c>
      <c r="B476" s="2">
        <v>44002.458333333336</v>
      </c>
      <c r="C476" s="2">
        <v>44004.347222222219</v>
      </c>
      <c r="D476">
        <v>3</v>
      </c>
      <c r="E476" t="s">
        <v>6</v>
      </c>
      <c r="F476" t="s">
        <v>10</v>
      </c>
      <c r="G476" t="s">
        <v>26</v>
      </c>
      <c r="H476">
        <v>69</v>
      </c>
      <c r="I476">
        <v>2.76</v>
      </c>
      <c r="J476">
        <v>1.48</v>
      </c>
      <c r="K476" t="s">
        <v>15</v>
      </c>
      <c r="L476">
        <v>74</v>
      </c>
      <c r="M476">
        <v>160</v>
      </c>
      <c r="N476">
        <v>73</v>
      </c>
      <c r="O476">
        <v>45</v>
      </c>
      <c r="P476" t="s">
        <v>46</v>
      </c>
    </row>
    <row r="477" spans="1:16" x14ac:dyDescent="0.25">
      <c r="A477">
        <v>484</v>
      </c>
      <c r="B477" s="2">
        <v>44004.302083333336</v>
      </c>
      <c r="C477" s="2">
        <v>44004.367361111108</v>
      </c>
      <c r="D477">
        <v>4</v>
      </c>
      <c r="E477" t="s">
        <v>4</v>
      </c>
      <c r="F477" t="s">
        <v>3</v>
      </c>
      <c r="G477" t="s">
        <v>33</v>
      </c>
      <c r="H477">
        <v>76</v>
      </c>
      <c r="I477">
        <v>4.53</v>
      </c>
      <c r="J477">
        <v>0.88</v>
      </c>
      <c r="K477" t="s">
        <v>15</v>
      </c>
      <c r="L477">
        <v>66</v>
      </c>
      <c r="M477">
        <v>177</v>
      </c>
      <c r="N477">
        <v>86</v>
      </c>
      <c r="O477">
        <v>59</v>
      </c>
      <c r="P477" t="s">
        <v>44</v>
      </c>
    </row>
    <row r="478" spans="1:16" x14ac:dyDescent="0.25">
      <c r="A478">
        <v>485</v>
      </c>
      <c r="B478" s="2">
        <v>44004.29583333333</v>
      </c>
      <c r="C478" s="2">
        <v>44004.571527777778</v>
      </c>
      <c r="D478">
        <v>3</v>
      </c>
      <c r="E478" t="s">
        <v>4</v>
      </c>
      <c r="F478" t="s">
        <v>1</v>
      </c>
      <c r="G478" t="s">
        <v>26</v>
      </c>
      <c r="H478">
        <v>61</v>
      </c>
      <c r="I478">
        <v>14.03</v>
      </c>
      <c r="J478">
        <v>5.14</v>
      </c>
      <c r="K478" t="s">
        <v>15</v>
      </c>
      <c r="L478">
        <v>75</v>
      </c>
      <c r="M478">
        <v>171</v>
      </c>
      <c r="N478">
        <v>89</v>
      </c>
      <c r="O478">
        <v>50</v>
      </c>
      <c r="P478" t="s">
        <v>46</v>
      </c>
    </row>
    <row r="479" spans="1:16" x14ac:dyDescent="0.25">
      <c r="A479">
        <v>486</v>
      </c>
      <c r="B479" s="2">
        <v>43999.583333333336</v>
      </c>
      <c r="C479" s="2">
        <v>44005.34375</v>
      </c>
      <c r="D479">
        <v>3</v>
      </c>
      <c r="E479" t="s">
        <v>6</v>
      </c>
      <c r="F479" t="s">
        <v>10</v>
      </c>
      <c r="G479" t="s">
        <v>26</v>
      </c>
      <c r="H479">
        <v>80</v>
      </c>
      <c r="I479">
        <v>15.41</v>
      </c>
      <c r="J479">
        <v>14.72</v>
      </c>
      <c r="K479" t="s">
        <v>15</v>
      </c>
      <c r="L479">
        <v>86</v>
      </c>
      <c r="M479">
        <v>174</v>
      </c>
      <c r="N479">
        <v>128</v>
      </c>
      <c r="O479">
        <v>35</v>
      </c>
      <c r="P479" t="s">
        <v>46</v>
      </c>
    </row>
    <row r="480" spans="1:16" x14ac:dyDescent="0.25">
      <c r="A480">
        <v>487</v>
      </c>
      <c r="B480" s="2">
        <v>44004.833333333336</v>
      </c>
      <c r="C480" s="2">
        <v>44005.354166666664</v>
      </c>
      <c r="D480">
        <v>5</v>
      </c>
      <c r="E480" t="s">
        <v>4</v>
      </c>
      <c r="F480" t="s">
        <v>3</v>
      </c>
      <c r="G480" t="s">
        <v>28</v>
      </c>
      <c r="H480">
        <v>68</v>
      </c>
      <c r="I480">
        <v>5.56</v>
      </c>
      <c r="J480">
        <v>4.74</v>
      </c>
      <c r="K480" t="s">
        <v>15</v>
      </c>
      <c r="L480">
        <v>88</v>
      </c>
      <c r="M480">
        <v>164</v>
      </c>
      <c r="N480">
        <v>73</v>
      </c>
      <c r="O480">
        <v>50</v>
      </c>
      <c r="P480" t="s">
        <v>46</v>
      </c>
    </row>
    <row r="481" spans="1:16" x14ac:dyDescent="0.25">
      <c r="A481">
        <v>488</v>
      </c>
      <c r="B481" s="2">
        <v>44004.396527777775</v>
      </c>
      <c r="C481" s="2">
        <v>44005.359027777777</v>
      </c>
      <c r="D481">
        <v>4</v>
      </c>
      <c r="E481" t="s">
        <v>4</v>
      </c>
      <c r="F481" t="s">
        <v>3</v>
      </c>
      <c r="G481" t="s">
        <v>35</v>
      </c>
      <c r="H481">
        <v>76</v>
      </c>
      <c r="I481">
        <v>6.73</v>
      </c>
      <c r="J481">
        <v>2.4700000000000002</v>
      </c>
      <c r="K481" t="s">
        <v>15</v>
      </c>
      <c r="L481">
        <v>93</v>
      </c>
      <c r="M481">
        <v>166</v>
      </c>
      <c r="N481">
        <v>84</v>
      </c>
      <c r="O481">
        <v>28</v>
      </c>
      <c r="P481" t="s">
        <v>45</v>
      </c>
    </row>
    <row r="482" spans="1:16" x14ac:dyDescent="0.25">
      <c r="A482">
        <v>489</v>
      </c>
      <c r="B482" s="2">
        <v>44005.295138888891</v>
      </c>
      <c r="C482" s="2">
        <v>44005.55</v>
      </c>
      <c r="D482">
        <v>3</v>
      </c>
      <c r="E482" t="s">
        <v>4</v>
      </c>
      <c r="F482" t="s">
        <v>3</v>
      </c>
      <c r="G482" t="s">
        <v>26</v>
      </c>
      <c r="H482">
        <v>85</v>
      </c>
      <c r="I482">
        <v>7.96</v>
      </c>
      <c r="J482">
        <v>1.36</v>
      </c>
      <c r="K482" t="s">
        <v>15</v>
      </c>
      <c r="L482">
        <v>78</v>
      </c>
      <c r="M482">
        <v>188</v>
      </c>
      <c r="N482">
        <v>93</v>
      </c>
      <c r="O482">
        <v>60</v>
      </c>
      <c r="P482" t="s">
        <v>44</v>
      </c>
    </row>
    <row r="483" spans="1:16" x14ac:dyDescent="0.25">
      <c r="A483">
        <v>490</v>
      </c>
      <c r="B483" s="2">
        <v>44005.291666666664</v>
      </c>
      <c r="C483" s="2">
        <v>44005.56527777778</v>
      </c>
      <c r="D483">
        <v>5</v>
      </c>
      <c r="E483" t="s">
        <v>4</v>
      </c>
      <c r="F483" t="s">
        <v>3</v>
      </c>
      <c r="G483" t="s">
        <v>28</v>
      </c>
      <c r="H483">
        <v>73</v>
      </c>
      <c r="I483">
        <v>5.58</v>
      </c>
      <c r="J483">
        <v>1.49</v>
      </c>
      <c r="K483" t="s">
        <v>15</v>
      </c>
      <c r="L483">
        <v>69</v>
      </c>
      <c r="M483">
        <v>164</v>
      </c>
      <c r="N483">
        <v>69</v>
      </c>
      <c r="O483">
        <v>40</v>
      </c>
      <c r="P483" t="s">
        <v>46</v>
      </c>
    </row>
    <row r="484" spans="1:16" x14ac:dyDescent="0.25">
      <c r="A484">
        <v>491</v>
      </c>
      <c r="B484" s="2">
        <v>44005.3</v>
      </c>
      <c r="C484" s="2">
        <v>44005.614583333336</v>
      </c>
      <c r="D484">
        <v>4</v>
      </c>
      <c r="E484" t="s">
        <v>4</v>
      </c>
      <c r="F484" t="s">
        <v>3</v>
      </c>
      <c r="G484" t="s">
        <v>35</v>
      </c>
      <c r="H484">
        <v>80</v>
      </c>
      <c r="I484">
        <v>5.19</v>
      </c>
      <c r="J484">
        <v>1.61</v>
      </c>
      <c r="K484" t="s">
        <v>15</v>
      </c>
      <c r="L484">
        <v>72</v>
      </c>
      <c r="M484">
        <v>159</v>
      </c>
      <c r="N484">
        <v>59</v>
      </c>
      <c r="O484">
        <v>60</v>
      </c>
      <c r="P484" t="s">
        <v>44</v>
      </c>
    </row>
    <row r="485" spans="1:16" x14ac:dyDescent="0.25">
      <c r="A485">
        <v>492</v>
      </c>
      <c r="B485" s="2">
        <v>44004.584722222222</v>
      </c>
      <c r="C485" s="2">
        <v>44005.75</v>
      </c>
      <c r="D485">
        <v>6</v>
      </c>
      <c r="E485" t="s">
        <v>0</v>
      </c>
      <c r="F485" t="s">
        <v>5</v>
      </c>
      <c r="G485" t="s">
        <v>28</v>
      </c>
      <c r="H485">
        <v>68</v>
      </c>
      <c r="I485">
        <v>42.02</v>
      </c>
      <c r="J485">
        <v>36.39</v>
      </c>
      <c r="K485" t="s">
        <v>15</v>
      </c>
      <c r="L485">
        <v>62</v>
      </c>
      <c r="M485">
        <v>164</v>
      </c>
      <c r="N485">
        <v>75</v>
      </c>
      <c r="O485">
        <v>63</v>
      </c>
      <c r="P485" t="s">
        <v>44</v>
      </c>
    </row>
    <row r="486" spans="1:16" x14ac:dyDescent="0.25">
      <c r="A486">
        <v>493</v>
      </c>
      <c r="B486" s="2">
        <v>44006.270833333336</v>
      </c>
      <c r="C486" s="2">
        <v>44006.427083333336</v>
      </c>
      <c r="D486">
        <v>6</v>
      </c>
      <c r="E486" t="s">
        <v>4</v>
      </c>
      <c r="F486" t="s">
        <v>3</v>
      </c>
      <c r="G486" t="s">
        <v>31</v>
      </c>
      <c r="H486">
        <v>54</v>
      </c>
      <c r="I486">
        <v>2.27</v>
      </c>
      <c r="J486">
        <v>1.59</v>
      </c>
      <c r="K486" t="s">
        <v>15</v>
      </c>
      <c r="L486">
        <v>107</v>
      </c>
      <c r="M486">
        <v>161</v>
      </c>
      <c r="N486">
        <v>101</v>
      </c>
      <c r="O486">
        <v>35</v>
      </c>
      <c r="P486" t="s">
        <v>46</v>
      </c>
    </row>
    <row r="487" spans="1:16" x14ac:dyDescent="0.25">
      <c r="A487">
        <v>494</v>
      </c>
      <c r="B487" s="2">
        <v>44004.745138888888</v>
      </c>
      <c r="C487" s="2">
        <v>44006.597916666666</v>
      </c>
      <c r="D487">
        <v>4</v>
      </c>
      <c r="E487" t="s">
        <v>6</v>
      </c>
      <c r="F487" t="s">
        <v>10</v>
      </c>
      <c r="G487" t="s">
        <v>31</v>
      </c>
      <c r="H487">
        <v>63</v>
      </c>
      <c r="I487">
        <v>2.81</v>
      </c>
      <c r="J487">
        <v>1.37</v>
      </c>
      <c r="K487" t="s">
        <v>15</v>
      </c>
      <c r="L487">
        <v>87</v>
      </c>
      <c r="M487">
        <v>175</v>
      </c>
      <c r="N487">
        <v>88</v>
      </c>
      <c r="O487">
        <v>63</v>
      </c>
      <c r="P487" t="s">
        <v>44</v>
      </c>
    </row>
    <row r="488" spans="1:16" x14ac:dyDescent="0.25">
      <c r="A488">
        <v>495</v>
      </c>
      <c r="B488" s="2">
        <v>44007.291666666664</v>
      </c>
      <c r="C488" s="2">
        <v>44007.510416666664</v>
      </c>
      <c r="D488">
        <v>5</v>
      </c>
      <c r="E488" t="s">
        <v>4</v>
      </c>
      <c r="F488" t="s">
        <v>11</v>
      </c>
      <c r="G488" t="s">
        <v>29</v>
      </c>
      <c r="H488">
        <v>78</v>
      </c>
      <c r="I488">
        <v>5.14</v>
      </c>
      <c r="J488">
        <v>1.92</v>
      </c>
      <c r="K488" t="s">
        <v>15</v>
      </c>
      <c r="L488">
        <v>93</v>
      </c>
      <c r="M488">
        <v>141</v>
      </c>
      <c r="N488">
        <v>90</v>
      </c>
      <c r="O488">
        <v>38</v>
      </c>
      <c r="P488" t="s">
        <v>46</v>
      </c>
    </row>
    <row r="489" spans="1:16" x14ac:dyDescent="0.25">
      <c r="A489">
        <v>496</v>
      </c>
      <c r="B489" s="2">
        <v>44007.291666666664</v>
      </c>
      <c r="C489" s="2">
        <v>44007.511805555558</v>
      </c>
      <c r="D489">
        <v>4</v>
      </c>
      <c r="E489" t="s">
        <v>4</v>
      </c>
      <c r="F489" t="s">
        <v>10</v>
      </c>
      <c r="G489" t="s">
        <v>21</v>
      </c>
      <c r="H489">
        <v>67</v>
      </c>
      <c r="I489">
        <v>2.84</v>
      </c>
      <c r="J489">
        <v>1.04</v>
      </c>
      <c r="K489" t="s">
        <v>15</v>
      </c>
      <c r="L489">
        <v>88</v>
      </c>
      <c r="M489">
        <v>185</v>
      </c>
      <c r="N489">
        <v>92</v>
      </c>
      <c r="O489">
        <v>65</v>
      </c>
      <c r="P489" t="s">
        <v>44</v>
      </c>
    </row>
    <row r="490" spans="1:16" x14ac:dyDescent="0.25">
      <c r="A490">
        <v>497</v>
      </c>
      <c r="B490" s="2">
        <v>44001.453472222223</v>
      </c>
      <c r="C490" s="2">
        <v>44007.536805555559</v>
      </c>
      <c r="D490">
        <v>3</v>
      </c>
      <c r="E490" t="s">
        <v>6</v>
      </c>
      <c r="F490" t="s">
        <v>11</v>
      </c>
      <c r="G490" t="s">
        <v>31</v>
      </c>
      <c r="H490">
        <v>62</v>
      </c>
      <c r="I490">
        <v>18.88</v>
      </c>
      <c r="J490">
        <v>14.1</v>
      </c>
      <c r="K490" t="s">
        <v>15</v>
      </c>
      <c r="L490">
        <v>80</v>
      </c>
      <c r="M490">
        <v>180</v>
      </c>
      <c r="N490">
        <v>116</v>
      </c>
      <c r="O490">
        <v>55</v>
      </c>
      <c r="P490" t="s">
        <v>44</v>
      </c>
    </row>
    <row r="491" spans="1:16" x14ac:dyDescent="0.25">
      <c r="A491">
        <v>498</v>
      </c>
      <c r="B491" s="2">
        <v>44001.795138888891</v>
      </c>
      <c r="C491" s="2">
        <v>44008.34375</v>
      </c>
      <c r="D491">
        <v>4</v>
      </c>
      <c r="E491" t="s">
        <v>6</v>
      </c>
      <c r="F491" t="s">
        <v>10</v>
      </c>
      <c r="G491" t="s">
        <v>24</v>
      </c>
      <c r="H491">
        <v>56</v>
      </c>
      <c r="I491">
        <v>3.63</v>
      </c>
      <c r="J491">
        <v>1.66</v>
      </c>
      <c r="K491" t="s">
        <v>15</v>
      </c>
      <c r="L491">
        <v>150</v>
      </c>
      <c r="M491">
        <v>165</v>
      </c>
      <c r="N491">
        <v>93</v>
      </c>
      <c r="O491">
        <v>64</v>
      </c>
      <c r="P491" t="s">
        <v>44</v>
      </c>
    </row>
    <row r="492" spans="1:16" x14ac:dyDescent="0.25">
      <c r="A492">
        <v>499</v>
      </c>
      <c r="B492" s="2">
        <v>44007.583333333336</v>
      </c>
      <c r="C492" s="2">
        <v>44008.364583333336</v>
      </c>
      <c r="D492">
        <v>3</v>
      </c>
      <c r="E492" t="s">
        <v>4</v>
      </c>
      <c r="F492" t="s">
        <v>11</v>
      </c>
      <c r="G492" t="s">
        <v>27</v>
      </c>
      <c r="H492">
        <v>81</v>
      </c>
      <c r="I492">
        <v>9.15</v>
      </c>
      <c r="J492">
        <v>3.17</v>
      </c>
      <c r="K492" t="s">
        <v>15</v>
      </c>
      <c r="L492">
        <v>72</v>
      </c>
      <c r="M492">
        <v>169</v>
      </c>
      <c r="N492">
        <v>70</v>
      </c>
      <c r="O492">
        <v>50</v>
      </c>
      <c r="P492" t="s">
        <v>46</v>
      </c>
    </row>
    <row r="493" spans="1:16" x14ac:dyDescent="0.25">
      <c r="A493">
        <v>500</v>
      </c>
      <c r="B493" s="2">
        <v>44008.291666666664</v>
      </c>
      <c r="C493" s="2">
        <v>44008.574305555558</v>
      </c>
      <c r="D493">
        <v>4</v>
      </c>
      <c r="E493" t="s">
        <v>4</v>
      </c>
      <c r="F493" t="s">
        <v>3</v>
      </c>
      <c r="G493" t="s">
        <v>24</v>
      </c>
      <c r="H493">
        <v>56</v>
      </c>
      <c r="I493">
        <v>2.08</v>
      </c>
      <c r="J493">
        <v>0.84</v>
      </c>
      <c r="K493" t="s">
        <v>15</v>
      </c>
      <c r="L493">
        <v>79</v>
      </c>
      <c r="M493">
        <v>170</v>
      </c>
      <c r="N493">
        <v>75</v>
      </c>
      <c r="O493">
        <v>55</v>
      </c>
      <c r="P493" t="s">
        <v>44</v>
      </c>
    </row>
    <row r="494" spans="1:16" x14ac:dyDescent="0.25">
      <c r="A494">
        <v>501</v>
      </c>
      <c r="B494" s="2">
        <v>44007.291666666664</v>
      </c>
      <c r="C494" s="2">
        <v>44008.631944444445</v>
      </c>
      <c r="D494">
        <v>3</v>
      </c>
      <c r="E494" t="s">
        <v>4</v>
      </c>
      <c r="F494" t="s">
        <v>3</v>
      </c>
      <c r="G494" t="s">
        <v>21</v>
      </c>
      <c r="H494">
        <v>82</v>
      </c>
      <c r="I494">
        <v>6.61</v>
      </c>
      <c r="J494">
        <v>0.94</v>
      </c>
      <c r="K494" t="s">
        <v>15</v>
      </c>
      <c r="L494">
        <v>134</v>
      </c>
      <c r="M494">
        <v>186</v>
      </c>
      <c r="N494">
        <v>145</v>
      </c>
      <c r="O494">
        <v>62</v>
      </c>
      <c r="P494" t="s">
        <v>44</v>
      </c>
    </row>
    <row r="495" spans="1:16" x14ac:dyDescent="0.25">
      <c r="A495">
        <v>502</v>
      </c>
      <c r="B495" s="2">
        <v>44008.65625</v>
      </c>
      <c r="C495" s="2">
        <v>44009.333333333336</v>
      </c>
      <c r="D495">
        <v>4</v>
      </c>
      <c r="E495" t="s">
        <v>4</v>
      </c>
      <c r="F495" t="s">
        <v>11</v>
      </c>
      <c r="G495" t="s">
        <v>24</v>
      </c>
      <c r="H495">
        <v>80</v>
      </c>
      <c r="I495">
        <v>10.66</v>
      </c>
      <c r="J495">
        <v>7.23</v>
      </c>
      <c r="K495" t="s">
        <v>15</v>
      </c>
      <c r="L495">
        <v>97</v>
      </c>
      <c r="M495">
        <v>175</v>
      </c>
      <c r="N495">
        <v>75</v>
      </c>
      <c r="O495">
        <v>56</v>
      </c>
      <c r="P495" t="s">
        <v>44</v>
      </c>
    </row>
    <row r="496" spans="1:16" x14ac:dyDescent="0.25">
      <c r="A496">
        <v>503</v>
      </c>
      <c r="B496" s="2">
        <v>44006.45208333333</v>
      </c>
      <c r="C496" s="2">
        <v>44009.341666666667</v>
      </c>
      <c r="D496">
        <v>5</v>
      </c>
      <c r="E496" t="s">
        <v>6</v>
      </c>
      <c r="F496" t="s">
        <v>3</v>
      </c>
      <c r="G496" t="s">
        <v>32</v>
      </c>
      <c r="H496">
        <v>78</v>
      </c>
      <c r="I496">
        <v>5.14</v>
      </c>
      <c r="J496">
        <v>5.25</v>
      </c>
      <c r="K496" t="s">
        <v>15</v>
      </c>
      <c r="L496">
        <v>95</v>
      </c>
      <c r="M496">
        <v>175</v>
      </c>
      <c r="N496">
        <v>103</v>
      </c>
      <c r="O496">
        <v>45</v>
      </c>
      <c r="P496" t="s">
        <v>46</v>
      </c>
    </row>
    <row r="497" spans="1:16" x14ac:dyDescent="0.25">
      <c r="A497">
        <v>504</v>
      </c>
      <c r="B497" s="2">
        <v>44009.291666666664</v>
      </c>
      <c r="C497" s="2">
        <v>44009.491666666669</v>
      </c>
      <c r="D497">
        <v>5</v>
      </c>
      <c r="E497" t="s">
        <v>4</v>
      </c>
      <c r="F497" t="s">
        <v>3</v>
      </c>
      <c r="G497" t="s">
        <v>32</v>
      </c>
      <c r="H497">
        <v>82</v>
      </c>
      <c r="I497">
        <v>6.61</v>
      </c>
      <c r="J497">
        <v>2.69</v>
      </c>
      <c r="K497" t="s">
        <v>15</v>
      </c>
      <c r="L497">
        <v>73</v>
      </c>
      <c r="M497">
        <v>175</v>
      </c>
      <c r="N497">
        <v>69</v>
      </c>
      <c r="O497">
        <v>66</v>
      </c>
      <c r="P497" t="s">
        <v>44</v>
      </c>
    </row>
    <row r="498" spans="1:16" x14ac:dyDescent="0.25">
      <c r="A498">
        <v>505</v>
      </c>
      <c r="B498" s="2">
        <v>44009.291666666664</v>
      </c>
      <c r="C498" s="2">
        <v>44009.633333333331</v>
      </c>
      <c r="D498">
        <v>3</v>
      </c>
      <c r="E498" t="s">
        <v>4</v>
      </c>
      <c r="F498" t="s">
        <v>3</v>
      </c>
      <c r="G498" t="s">
        <v>24</v>
      </c>
      <c r="H498">
        <v>68</v>
      </c>
      <c r="I498">
        <v>5.97</v>
      </c>
      <c r="J498">
        <v>1.64</v>
      </c>
      <c r="K498" t="s">
        <v>15</v>
      </c>
      <c r="L498">
        <v>70</v>
      </c>
      <c r="M498">
        <v>176</v>
      </c>
      <c r="N498">
        <v>130</v>
      </c>
      <c r="O498">
        <v>66</v>
      </c>
      <c r="P498" t="s">
        <v>44</v>
      </c>
    </row>
    <row r="499" spans="1:16" x14ac:dyDescent="0.25">
      <c r="A499">
        <v>506</v>
      </c>
      <c r="B499" s="2">
        <v>44008.416666666664</v>
      </c>
      <c r="C499" s="2">
        <v>44011.350694444445</v>
      </c>
      <c r="D499">
        <v>3</v>
      </c>
      <c r="E499" t="s">
        <v>6</v>
      </c>
      <c r="F499" t="s">
        <v>10</v>
      </c>
      <c r="G499" t="s">
        <v>33</v>
      </c>
      <c r="H499">
        <v>52</v>
      </c>
      <c r="I499">
        <v>4.3</v>
      </c>
      <c r="J499">
        <v>1.86</v>
      </c>
      <c r="K499" t="s">
        <v>15</v>
      </c>
      <c r="L499">
        <v>87</v>
      </c>
      <c r="M499">
        <v>163</v>
      </c>
      <c r="N499">
        <v>50</v>
      </c>
      <c r="O499">
        <v>44</v>
      </c>
      <c r="P499" t="s">
        <v>46</v>
      </c>
    </row>
    <row r="500" spans="1:16" x14ac:dyDescent="0.25">
      <c r="A500">
        <v>507</v>
      </c>
      <c r="B500" s="2">
        <v>44010.659722222219</v>
      </c>
      <c r="C500" s="2">
        <v>44011.354166666664</v>
      </c>
      <c r="D500">
        <v>4</v>
      </c>
      <c r="E500" t="s">
        <v>4</v>
      </c>
      <c r="F500" t="s">
        <v>11</v>
      </c>
      <c r="G500" t="s">
        <v>23</v>
      </c>
      <c r="H500">
        <v>54</v>
      </c>
      <c r="I500">
        <v>2.27</v>
      </c>
      <c r="J500">
        <v>1.58</v>
      </c>
      <c r="K500" t="s">
        <v>15</v>
      </c>
      <c r="L500">
        <v>62</v>
      </c>
      <c r="M500">
        <v>178</v>
      </c>
      <c r="N500">
        <v>66</v>
      </c>
      <c r="O500">
        <v>50</v>
      </c>
      <c r="P500" t="s">
        <v>46</v>
      </c>
    </row>
    <row r="501" spans="1:16" x14ac:dyDescent="0.25">
      <c r="A501">
        <v>508</v>
      </c>
      <c r="B501" s="2">
        <v>44011.291666666664</v>
      </c>
      <c r="C501" s="2">
        <v>44011.361111111109</v>
      </c>
      <c r="D501">
        <v>5</v>
      </c>
      <c r="E501" t="s">
        <v>4</v>
      </c>
      <c r="F501" t="s">
        <v>1</v>
      </c>
      <c r="G501" t="s">
        <v>29</v>
      </c>
      <c r="H501">
        <v>55</v>
      </c>
      <c r="I501">
        <v>4.6500000000000004</v>
      </c>
      <c r="J501">
        <v>0.96</v>
      </c>
      <c r="K501" t="s">
        <v>15</v>
      </c>
      <c r="L501">
        <v>94</v>
      </c>
      <c r="M501">
        <v>190</v>
      </c>
      <c r="N501">
        <v>90</v>
      </c>
      <c r="O501">
        <v>20</v>
      </c>
      <c r="P501" t="s">
        <v>47</v>
      </c>
    </row>
    <row r="502" spans="1:16" x14ac:dyDescent="0.25">
      <c r="A502">
        <v>509</v>
      </c>
      <c r="B502" s="2">
        <v>44011.270833333336</v>
      </c>
      <c r="C502" s="2">
        <v>44011.625</v>
      </c>
      <c r="D502">
        <v>4</v>
      </c>
      <c r="E502" t="s">
        <v>4</v>
      </c>
      <c r="F502" t="s">
        <v>10</v>
      </c>
      <c r="G502" t="s">
        <v>23</v>
      </c>
      <c r="H502">
        <v>59</v>
      </c>
      <c r="I502">
        <v>1.33</v>
      </c>
      <c r="J502">
        <v>0.69</v>
      </c>
      <c r="K502" t="s">
        <v>15</v>
      </c>
      <c r="L502">
        <v>66</v>
      </c>
      <c r="M502">
        <v>170</v>
      </c>
      <c r="N502">
        <v>77</v>
      </c>
      <c r="O502">
        <v>60</v>
      </c>
      <c r="P502" t="s">
        <v>44</v>
      </c>
    </row>
    <row r="503" spans="1:16" x14ac:dyDescent="0.25">
      <c r="A503">
        <v>510</v>
      </c>
      <c r="B503" s="2">
        <v>44011.291666666664</v>
      </c>
      <c r="C503" s="2">
        <v>44011.652777777781</v>
      </c>
      <c r="D503">
        <v>5</v>
      </c>
      <c r="E503" t="s">
        <v>4</v>
      </c>
      <c r="F503" t="s">
        <v>10</v>
      </c>
      <c r="G503" t="s">
        <v>29</v>
      </c>
      <c r="H503">
        <v>56</v>
      </c>
      <c r="I503">
        <v>3.26</v>
      </c>
      <c r="J503">
        <v>1.89</v>
      </c>
      <c r="K503" t="s">
        <v>15</v>
      </c>
      <c r="L503">
        <v>68</v>
      </c>
      <c r="M503">
        <v>167</v>
      </c>
      <c r="N503">
        <v>66</v>
      </c>
      <c r="O503">
        <v>50</v>
      </c>
      <c r="P503" t="s">
        <v>46</v>
      </c>
    </row>
    <row r="504" spans="1:16" x14ac:dyDescent="0.25">
      <c r="A504">
        <v>511</v>
      </c>
      <c r="B504" s="2">
        <v>44011.59097222222</v>
      </c>
      <c r="C504" s="2">
        <v>44012.347222222219</v>
      </c>
      <c r="D504">
        <v>3</v>
      </c>
      <c r="E504" t="s">
        <v>4</v>
      </c>
      <c r="F504" t="s">
        <v>3</v>
      </c>
      <c r="G504" t="s">
        <v>28</v>
      </c>
      <c r="H504">
        <v>79</v>
      </c>
      <c r="I504">
        <v>10.92</v>
      </c>
      <c r="J504">
        <v>1.46</v>
      </c>
      <c r="K504" t="s">
        <v>15</v>
      </c>
      <c r="L504">
        <v>126</v>
      </c>
      <c r="M504">
        <v>181</v>
      </c>
      <c r="N504">
        <v>72</v>
      </c>
      <c r="O504">
        <v>56</v>
      </c>
      <c r="P504" t="s">
        <v>44</v>
      </c>
    </row>
    <row r="505" spans="1:16" x14ac:dyDescent="0.25">
      <c r="A505">
        <v>512</v>
      </c>
      <c r="B505" s="2">
        <v>44011.666666666664</v>
      </c>
      <c r="C505" s="2">
        <v>44012.347222222219</v>
      </c>
      <c r="D505">
        <v>4</v>
      </c>
      <c r="E505" t="s">
        <v>4</v>
      </c>
      <c r="F505" t="s">
        <v>3</v>
      </c>
      <c r="G505" t="s">
        <v>35</v>
      </c>
      <c r="H505">
        <v>66</v>
      </c>
      <c r="I505">
        <v>3.28</v>
      </c>
      <c r="J505">
        <v>0.74</v>
      </c>
      <c r="K505" t="s">
        <v>15</v>
      </c>
      <c r="L505">
        <v>116</v>
      </c>
      <c r="M505">
        <v>167</v>
      </c>
      <c r="N505">
        <v>68</v>
      </c>
      <c r="O505">
        <v>38</v>
      </c>
      <c r="P505" t="s">
        <v>46</v>
      </c>
    </row>
    <row r="506" spans="1:16" x14ac:dyDescent="0.25">
      <c r="A506">
        <v>513</v>
      </c>
      <c r="B506" s="2">
        <v>44009.604166666664</v>
      </c>
      <c r="C506" s="2">
        <v>44012.352083333331</v>
      </c>
      <c r="D506">
        <v>5</v>
      </c>
      <c r="E506" t="s">
        <v>6</v>
      </c>
      <c r="F506" t="s">
        <v>10</v>
      </c>
      <c r="G506" t="s">
        <v>24</v>
      </c>
      <c r="H506">
        <v>65</v>
      </c>
      <c r="I506">
        <v>9.08</v>
      </c>
      <c r="J506">
        <v>2.98</v>
      </c>
      <c r="K506" t="s">
        <v>15</v>
      </c>
      <c r="L506">
        <v>68</v>
      </c>
      <c r="M506">
        <v>178</v>
      </c>
      <c r="N506">
        <v>82</v>
      </c>
      <c r="O506">
        <v>50</v>
      </c>
      <c r="P506" t="s">
        <v>46</v>
      </c>
    </row>
    <row r="507" spans="1:16" x14ac:dyDescent="0.25">
      <c r="A507">
        <v>514</v>
      </c>
      <c r="B507" s="2">
        <v>44012.291666666664</v>
      </c>
      <c r="C507" s="2">
        <v>44012.411805555559</v>
      </c>
      <c r="D507">
        <v>3</v>
      </c>
      <c r="E507" t="s">
        <v>4</v>
      </c>
      <c r="F507" t="s">
        <v>3</v>
      </c>
      <c r="G507" t="s">
        <v>28</v>
      </c>
      <c r="H507">
        <v>67</v>
      </c>
      <c r="I507">
        <v>3.5</v>
      </c>
      <c r="J507">
        <v>1.32</v>
      </c>
      <c r="K507" t="s">
        <v>15</v>
      </c>
      <c r="L507">
        <v>74</v>
      </c>
      <c r="M507">
        <v>156</v>
      </c>
      <c r="N507">
        <v>81</v>
      </c>
      <c r="O507">
        <v>65</v>
      </c>
      <c r="P507" t="s">
        <v>44</v>
      </c>
    </row>
    <row r="508" spans="1:16" x14ac:dyDescent="0.25">
      <c r="A508">
        <v>515</v>
      </c>
      <c r="B508" s="2">
        <v>44012.25</v>
      </c>
      <c r="C508" s="2">
        <v>44012.557638888888</v>
      </c>
      <c r="D508">
        <v>4</v>
      </c>
      <c r="E508" t="s">
        <v>4</v>
      </c>
      <c r="F508" t="s">
        <v>3</v>
      </c>
      <c r="G508" t="s">
        <v>35</v>
      </c>
      <c r="H508">
        <v>76</v>
      </c>
      <c r="I508">
        <v>4.53</v>
      </c>
      <c r="J508">
        <v>0.79</v>
      </c>
      <c r="K508" t="s">
        <v>15</v>
      </c>
      <c r="L508">
        <v>78</v>
      </c>
      <c r="M508">
        <v>156</v>
      </c>
      <c r="N508">
        <v>66</v>
      </c>
      <c r="O508">
        <v>52</v>
      </c>
      <c r="P508" t="s">
        <v>44</v>
      </c>
    </row>
    <row r="509" spans="1:16" x14ac:dyDescent="0.25">
      <c r="A509">
        <v>516</v>
      </c>
      <c r="B509" s="2">
        <v>44012.291666666664</v>
      </c>
      <c r="C509" s="2">
        <v>44012.631249999999</v>
      </c>
      <c r="D509">
        <v>5</v>
      </c>
      <c r="E509" t="s">
        <v>4</v>
      </c>
      <c r="F509" t="s">
        <v>3</v>
      </c>
      <c r="G509" t="s">
        <v>24</v>
      </c>
      <c r="H509">
        <v>64</v>
      </c>
      <c r="I509">
        <v>2.09</v>
      </c>
      <c r="J509">
        <v>1.96</v>
      </c>
      <c r="K509" t="s">
        <v>15</v>
      </c>
      <c r="L509">
        <v>112</v>
      </c>
      <c r="M509">
        <v>177</v>
      </c>
      <c r="N509">
        <v>63</v>
      </c>
      <c r="O509">
        <v>49</v>
      </c>
      <c r="P509" t="s">
        <v>46</v>
      </c>
    </row>
    <row r="510" spans="1:16" x14ac:dyDescent="0.25">
      <c r="A510">
        <v>517</v>
      </c>
      <c r="B510" s="2">
        <v>44011.458333333336</v>
      </c>
      <c r="C510" s="2">
        <v>44013.336805555555</v>
      </c>
      <c r="D510">
        <v>4</v>
      </c>
      <c r="E510" t="s">
        <v>6</v>
      </c>
      <c r="F510" t="s">
        <v>10</v>
      </c>
      <c r="G510" t="s">
        <v>27</v>
      </c>
      <c r="H510">
        <v>59</v>
      </c>
      <c r="I510">
        <v>2.2799999999999998</v>
      </c>
      <c r="J510">
        <v>1.0900000000000001</v>
      </c>
      <c r="K510" t="s">
        <v>15</v>
      </c>
      <c r="L510">
        <v>85</v>
      </c>
      <c r="M510">
        <v>180</v>
      </c>
      <c r="N510">
        <v>106</v>
      </c>
      <c r="O510">
        <v>20</v>
      </c>
      <c r="P510" t="s">
        <v>47</v>
      </c>
    </row>
    <row r="511" spans="1:16" x14ac:dyDescent="0.25">
      <c r="A511">
        <v>518</v>
      </c>
      <c r="B511" s="2">
        <v>44011.291666666664</v>
      </c>
      <c r="C511" s="2">
        <v>44013.34375</v>
      </c>
      <c r="D511">
        <v>3</v>
      </c>
      <c r="E511" t="s">
        <v>4</v>
      </c>
      <c r="F511" t="s">
        <v>10</v>
      </c>
      <c r="G511" t="s">
        <v>33</v>
      </c>
      <c r="H511">
        <v>74</v>
      </c>
      <c r="I511">
        <v>5.22</v>
      </c>
      <c r="J511">
        <v>2.02</v>
      </c>
      <c r="K511" t="s">
        <v>15</v>
      </c>
      <c r="L511">
        <v>103</v>
      </c>
      <c r="M511">
        <v>180</v>
      </c>
      <c r="N511">
        <v>96</v>
      </c>
      <c r="O511">
        <v>60</v>
      </c>
      <c r="P511" t="s">
        <v>44</v>
      </c>
    </row>
    <row r="512" spans="1:16" x14ac:dyDescent="0.25">
      <c r="A512">
        <v>519</v>
      </c>
      <c r="B512" s="2">
        <v>44012.541666666664</v>
      </c>
      <c r="C512" s="2">
        <v>44013.54583333333</v>
      </c>
      <c r="D512">
        <v>3</v>
      </c>
      <c r="E512" t="s">
        <v>4</v>
      </c>
      <c r="F512" t="s">
        <v>11</v>
      </c>
      <c r="G512" t="s">
        <v>28</v>
      </c>
      <c r="H512">
        <v>79</v>
      </c>
      <c r="I512">
        <v>5.48</v>
      </c>
      <c r="J512">
        <v>2.65</v>
      </c>
      <c r="K512" t="s">
        <v>15</v>
      </c>
      <c r="L512">
        <v>95</v>
      </c>
      <c r="M512">
        <v>154</v>
      </c>
      <c r="N512">
        <v>64</v>
      </c>
      <c r="O512">
        <v>55</v>
      </c>
      <c r="P512" t="s">
        <v>44</v>
      </c>
    </row>
    <row r="513" spans="1:16" x14ac:dyDescent="0.25">
      <c r="A513">
        <v>520</v>
      </c>
      <c r="B513" s="2">
        <v>44013.304861111108</v>
      </c>
      <c r="C513" s="2">
        <v>44013.625</v>
      </c>
      <c r="D513">
        <v>4</v>
      </c>
      <c r="E513" t="s">
        <v>4</v>
      </c>
      <c r="F513" t="s">
        <v>3</v>
      </c>
      <c r="G513" t="s">
        <v>27</v>
      </c>
      <c r="H513">
        <v>70</v>
      </c>
      <c r="I513">
        <v>4.6100000000000003</v>
      </c>
      <c r="J513">
        <v>1.94</v>
      </c>
      <c r="K513" t="s">
        <v>15</v>
      </c>
      <c r="L513">
        <v>110</v>
      </c>
      <c r="M513">
        <v>175</v>
      </c>
      <c r="N513">
        <v>70</v>
      </c>
      <c r="O513">
        <v>42</v>
      </c>
      <c r="P513" t="s">
        <v>46</v>
      </c>
    </row>
    <row r="514" spans="1:16" x14ac:dyDescent="0.25">
      <c r="A514">
        <v>521</v>
      </c>
      <c r="B514" s="2">
        <v>44013.47152777778</v>
      </c>
      <c r="C514" s="2">
        <v>44014.341666666667</v>
      </c>
      <c r="D514">
        <v>5</v>
      </c>
      <c r="E514" t="s">
        <v>4</v>
      </c>
      <c r="F514" t="s">
        <v>10</v>
      </c>
      <c r="G514" t="s">
        <v>32</v>
      </c>
      <c r="H514">
        <v>78</v>
      </c>
      <c r="I514">
        <v>3.06</v>
      </c>
      <c r="J514">
        <v>0.93</v>
      </c>
      <c r="K514" t="s">
        <v>15</v>
      </c>
      <c r="L514">
        <v>73</v>
      </c>
      <c r="M514">
        <v>140</v>
      </c>
      <c r="N514">
        <v>61</v>
      </c>
      <c r="O514">
        <v>60</v>
      </c>
      <c r="P514" t="s">
        <v>44</v>
      </c>
    </row>
    <row r="515" spans="1:16" x14ac:dyDescent="0.25">
      <c r="A515">
        <v>522</v>
      </c>
      <c r="B515" s="2">
        <v>44008.499305555553</v>
      </c>
      <c r="C515" s="2">
        <v>44014.347222222219</v>
      </c>
      <c r="D515">
        <v>4</v>
      </c>
      <c r="E515" t="s">
        <v>6</v>
      </c>
      <c r="F515" t="s">
        <v>10</v>
      </c>
      <c r="G515" t="s">
        <v>23</v>
      </c>
      <c r="H515">
        <v>74</v>
      </c>
      <c r="I515">
        <v>12.62</v>
      </c>
      <c r="J515">
        <v>3.58</v>
      </c>
      <c r="K515" t="s">
        <v>15</v>
      </c>
      <c r="L515">
        <v>143</v>
      </c>
      <c r="M515">
        <v>170</v>
      </c>
      <c r="N515">
        <v>73</v>
      </c>
      <c r="O515">
        <v>60</v>
      </c>
      <c r="P515" t="s">
        <v>44</v>
      </c>
    </row>
    <row r="516" spans="1:16" x14ac:dyDescent="0.25">
      <c r="A516">
        <v>523</v>
      </c>
      <c r="B516" s="2">
        <v>44014.291666666664</v>
      </c>
      <c r="C516" s="2">
        <v>44014.357638888891</v>
      </c>
      <c r="D516">
        <v>3</v>
      </c>
      <c r="E516" t="s">
        <v>4</v>
      </c>
      <c r="F516" t="s">
        <v>3</v>
      </c>
      <c r="G516" t="s">
        <v>33</v>
      </c>
      <c r="H516">
        <v>77</v>
      </c>
      <c r="I516">
        <v>7.16</v>
      </c>
      <c r="J516">
        <v>3.18</v>
      </c>
      <c r="K516" t="s">
        <v>15</v>
      </c>
      <c r="L516">
        <v>76</v>
      </c>
      <c r="M516">
        <v>178</v>
      </c>
      <c r="N516">
        <v>97</v>
      </c>
      <c r="O516">
        <v>60</v>
      </c>
      <c r="P516" t="s">
        <v>44</v>
      </c>
    </row>
    <row r="517" spans="1:16" x14ac:dyDescent="0.25">
      <c r="A517">
        <v>524</v>
      </c>
      <c r="B517" s="2">
        <v>44014.291666666664</v>
      </c>
      <c r="C517" s="2">
        <v>44014.555555555555</v>
      </c>
      <c r="D517">
        <v>3</v>
      </c>
      <c r="E517" t="s">
        <v>4</v>
      </c>
      <c r="F517" t="s">
        <v>11</v>
      </c>
      <c r="G517" t="s">
        <v>33</v>
      </c>
      <c r="H517">
        <v>64</v>
      </c>
      <c r="I517">
        <v>2.09</v>
      </c>
      <c r="J517">
        <v>1.29</v>
      </c>
      <c r="K517" t="s">
        <v>15</v>
      </c>
      <c r="L517">
        <v>72</v>
      </c>
      <c r="M517">
        <v>180</v>
      </c>
      <c r="N517">
        <v>67</v>
      </c>
      <c r="O517">
        <v>44</v>
      </c>
      <c r="P517" t="s">
        <v>46</v>
      </c>
    </row>
    <row r="518" spans="1:16" x14ac:dyDescent="0.25">
      <c r="A518">
        <v>525</v>
      </c>
      <c r="B518" s="2">
        <v>44014.291666666664</v>
      </c>
      <c r="C518" s="2">
        <v>44014.583333333336</v>
      </c>
      <c r="D518">
        <v>4</v>
      </c>
      <c r="E518" t="s">
        <v>4</v>
      </c>
      <c r="F518" t="s">
        <v>10</v>
      </c>
      <c r="G518" t="s">
        <v>23</v>
      </c>
      <c r="H518">
        <v>64</v>
      </c>
      <c r="I518">
        <v>1.85</v>
      </c>
      <c r="J518">
        <v>0.85</v>
      </c>
      <c r="K518" t="s">
        <v>15</v>
      </c>
      <c r="L518">
        <v>66</v>
      </c>
      <c r="M518">
        <v>187</v>
      </c>
      <c r="N518">
        <v>157</v>
      </c>
      <c r="O518">
        <v>65</v>
      </c>
      <c r="P518" t="s">
        <v>44</v>
      </c>
    </row>
    <row r="519" spans="1:16" x14ac:dyDescent="0.25">
      <c r="A519">
        <v>526</v>
      </c>
      <c r="B519" s="2">
        <v>44015.306250000001</v>
      </c>
      <c r="C519" s="2">
        <v>44015.34097222222</v>
      </c>
      <c r="D519">
        <v>4</v>
      </c>
      <c r="E519" t="s">
        <v>4</v>
      </c>
      <c r="F519" t="s">
        <v>3</v>
      </c>
      <c r="G519" t="s">
        <v>21</v>
      </c>
      <c r="H519">
        <v>65</v>
      </c>
      <c r="I519">
        <v>2.23</v>
      </c>
      <c r="J519">
        <v>0.57999999999999996</v>
      </c>
      <c r="K519" t="s">
        <v>15</v>
      </c>
      <c r="L519">
        <v>66</v>
      </c>
      <c r="M519">
        <v>169</v>
      </c>
      <c r="N519">
        <v>63</v>
      </c>
      <c r="O519">
        <v>56</v>
      </c>
      <c r="P519" t="s">
        <v>44</v>
      </c>
    </row>
    <row r="520" spans="1:16" x14ac:dyDescent="0.25">
      <c r="A520">
        <v>527</v>
      </c>
      <c r="B520" s="2">
        <v>44005.458333333336</v>
      </c>
      <c r="C520" s="2">
        <v>44015.354166666664</v>
      </c>
      <c r="D520">
        <v>3</v>
      </c>
      <c r="E520" t="s">
        <v>6</v>
      </c>
      <c r="F520" t="s">
        <v>1</v>
      </c>
      <c r="G520" t="s">
        <v>31</v>
      </c>
      <c r="H520">
        <v>73</v>
      </c>
      <c r="I520">
        <v>34</v>
      </c>
      <c r="J520">
        <v>11.19</v>
      </c>
      <c r="K520" t="s">
        <v>15</v>
      </c>
      <c r="L520">
        <v>83</v>
      </c>
      <c r="M520">
        <v>161</v>
      </c>
      <c r="N520">
        <v>72</v>
      </c>
      <c r="O520">
        <v>55</v>
      </c>
      <c r="P520" t="s">
        <v>44</v>
      </c>
    </row>
    <row r="521" spans="1:16" x14ac:dyDescent="0.25">
      <c r="A521">
        <v>528</v>
      </c>
      <c r="B521" s="2">
        <v>44015.306944444441</v>
      </c>
      <c r="C521" s="2">
        <v>44015.561805555553</v>
      </c>
      <c r="D521">
        <v>4</v>
      </c>
      <c r="E521" t="s">
        <v>4</v>
      </c>
      <c r="F521" t="s">
        <v>3</v>
      </c>
      <c r="G521" t="s">
        <v>21</v>
      </c>
      <c r="H521">
        <v>82</v>
      </c>
      <c r="I521">
        <v>8.9700000000000006</v>
      </c>
      <c r="J521">
        <v>1.1599999999999999</v>
      </c>
      <c r="K521" t="s">
        <v>15</v>
      </c>
      <c r="L521">
        <v>63</v>
      </c>
      <c r="M521">
        <v>173</v>
      </c>
      <c r="N521">
        <v>130</v>
      </c>
      <c r="O521">
        <v>50</v>
      </c>
      <c r="P521" t="s">
        <v>46</v>
      </c>
    </row>
    <row r="522" spans="1:16" x14ac:dyDescent="0.25">
      <c r="A522">
        <v>529</v>
      </c>
      <c r="B522" s="2">
        <v>44015.305555555555</v>
      </c>
      <c r="C522" s="2">
        <v>44015.614583333336</v>
      </c>
      <c r="D522">
        <v>3</v>
      </c>
      <c r="E522" t="s">
        <v>4</v>
      </c>
      <c r="F522" t="s">
        <v>3</v>
      </c>
      <c r="G522" t="s">
        <v>31</v>
      </c>
      <c r="H522">
        <v>66</v>
      </c>
      <c r="I522">
        <v>3.28</v>
      </c>
      <c r="J522">
        <v>1.17</v>
      </c>
      <c r="K522" t="s">
        <v>13</v>
      </c>
      <c r="L522">
        <v>138</v>
      </c>
      <c r="M522">
        <v>183</v>
      </c>
      <c r="N522">
        <v>87</v>
      </c>
      <c r="O522">
        <v>26</v>
      </c>
      <c r="P522" t="s">
        <v>45</v>
      </c>
    </row>
    <row r="523" spans="1:16" x14ac:dyDescent="0.25">
      <c r="A523">
        <v>530</v>
      </c>
      <c r="B523" s="2">
        <v>44015.665277777778</v>
      </c>
      <c r="C523" s="2">
        <v>44016.336805555555</v>
      </c>
      <c r="D523">
        <v>4</v>
      </c>
      <c r="E523" t="s">
        <v>4</v>
      </c>
      <c r="F523" t="s">
        <v>11</v>
      </c>
      <c r="G523" t="s">
        <v>24</v>
      </c>
      <c r="H523">
        <v>74</v>
      </c>
      <c r="I523">
        <v>7.41</v>
      </c>
      <c r="J523">
        <v>12.25</v>
      </c>
      <c r="K523" t="s">
        <v>15</v>
      </c>
      <c r="L523">
        <v>83</v>
      </c>
      <c r="M523">
        <v>165</v>
      </c>
      <c r="N523">
        <v>60</v>
      </c>
      <c r="O523">
        <v>55</v>
      </c>
      <c r="P523" t="s">
        <v>44</v>
      </c>
    </row>
    <row r="524" spans="1:16" x14ac:dyDescent="0.25">
      <c r="A524">
        <v>531</v>
      </c>
      <c r="B524" s="2">
        <v>44016.644444444442</v>
      </c>
      <c r="C524" s="2">
        <v>44017.441666666666</v>
      </c>
      <c r="D524">
        <v>5</v>
      </c>
      <c r="E524" t="s">
        <v>2</v>
      </c>
      <c r="F524" t="s">
        <v>1</v>
      </c>
      <c r="G524" t="s">
        <v>23</v>
      </c>
      <c r="H524">
        <v>54</v>
      </c>
      <c r="I524">
        <v>66.7</v>
      </c>
      <c r="J524">
        <v>50.46</v>
      </c>
      <c r="K524" t="s">
        <v>15</v>
      </c>
      <c r="L524">
        <v>119</v>
      </c>
      <c r="M524">
        <v>150</v>
      </c>
      <c r="N524">
        <v>70</v>
      </c>
      <c r="O524">
        <v>27</v>
      </c>
      <c r="P524" t="s">
        <v>45</v>
      </c>
    </row>
    <row r="525" spans="1:16" x14ac:dyDescent="0.25">
      <c r="A525">
        <v>532</v>
      </c>
      <c r="B525" s="2">
        <v>44014.291666666664</v>
      </c>
      <c r="C525" s="2">
        <v>44018.340277777781</v>
      </c>
      <c r="D525">
        <v>3</v>
      </c>
      <c r="E525" t="s">
        <v>4</v>
      </c>
      <c r="F525" t="s">
        <v>3</v>
      </c>
      <c r="G525" t="s">
        <v>32</v>
      </c>
      <c r="H525">
        <v>70</v>
      </c>
      <c r="I525">
        <v>7.86</v>
      </c>
      <c r="J525">
        <v>2.11</v>
      </c>
      <c r="K525" t="s">
        <v>15</v>
      </c>
      <c r="L525">
        <v>94</v>
      </c>
      <c r="M525">
        <v>168</v>
      </c>
      <c r="N525">
        <v>78</v>
      </c>
      <c r="O525">
        <v>55</v>
      </c>
      <c r="P525" t="s">
        <v>44</v>
      </c>
    </row>
    <row r="526" spans="1:16" x14ac:dyDescent="0.25">
      <c r="A526">
        <v>533</v>
      </c>
      <c r="B526" s="2">
        <v>44017.652777777781</v>
      </c>
      <c r="C526" s="2">
        <v>44018.35</v>
      </c>
      <c r="D526">
        <v>4</v>
      </c>
      <c r="E526" t="s">
        <v>4</v>
      </c>
      <c r="F526" t="s">
        <v>1</v>
      </c>
      <c r="G526" t="s">
        <v>23</v>
      </c>
      <c r="H526">
        <v>69</v>
      </c>
      <c r="I526">
        <v>43.59</v>
      </c>
      <c r="J526">
        <v>8.74</v>
      </c>
      <c r="K526" t="s">
        <v>15</v>
      </c>
      <c r="L526">
        <v>119</v>
      </c>
      <c r="M526">
        <v>175</v>
      </c>
      <c r="N526">
        <v>90</v>
      </c>
      <c r="O526">
        <v>43</v>
      </c>
      <c r="P526" t="s">
        <v>46</v>
      </c>
    </row>
    <row r="527" spans="1:16" x14ac:dyDescent="0.25">
      <c r="A527">
        <v>534</v>
      </c>
      <c r="B527" s="2">
        <v>44015.458333333336</v>
      </c>
      <c r="C527" s="2">
        <v>44018.351388888892</v>
      </c>
      <c r="D527">
        <v>6</v>
      </c>
      <c r="E527" t="s">
        <v>6</v>
      </c>
      <c r="F527" t="s">
        <v>3</v>
      </c>
      <c r="G527" t="s">
        <v>26</v>
      </c>
      <c r="H527">
        <v>32</v>
      </c>
      <c r="I527">
        <v>6.75</v>
      </c>
      <c r="J527">
        <v>7.64</v>
      </c>
      <c r="K527" t="s">
        <v>15</v>
      </c>
      <c r="L527">
        <v>93</v>
      </c>
      <c r="M527">
        <v>187</v>
      </c>
      <c r="N527">
        <v>100</v>
      </c>
      <c r="O527">
        <v>66</v>
      </c>
      <c r="P527" t="s">
        <v>44</v>
      </c>
    </row>
    <row r="528" spans="1:16" x14ac:dyDescent="0.25">
      <c r="A528">
        <v>535</v>
      </c>
      <c r="B528" s="2">
        <v>44018.291666666664</v>
      </c>
      <c r="C528" s="2">
        <v>44018.503472222219</v>
      </c>
      <c r="D528">
        <v>3</v>
      </c>
      <c r="E528" t="s">
        <v>4</v>
      </c>
      <c r="F528" t="s">
        <v>11</v>
      </c>
      <c r="G528" t="s">
        <v>32</v>
      </c>
      <c r="H528">
        <v>84</v>
      </c>
      <c r="I528">
        <v>20.329999999999998</v>
      </c>
      <c r="J528">
        <v>5.0999999999999996</v>
      </c>
      <c r="K528" t="s">
        <v>15</v>
      </c>
      <c r="L528">
        <v>168</v>
      </c>
      <c r="M528">
        <v>177</v>
      </c>
      <c r="N528">
        <v>86</v>
      </c>
      <c r="O528">
        <v>40</v>
      </c>
      <c r="P528" t="s">
        <v>46</v>
      </c>
    </row>
    <row r="529" spans="1:16" x14ac:dyDescent="0.25">
      <c r="A529">
        <v>536</v>
      </c>
      <c r="B529" s="2">
        <v>44018.291666666664</v>
      </c>
      <c r="C529" s="2">
        <v>44018.592361111114</v>
      </c>
      <c r="D529">
        <v>4</v>
      </c>
      <c r="E529" t="s">
        <v>4</v>
      </c>
      <c r="F529" t="s">
        <v>10</v>
      </c>
      <c r="G529" t="s">
        <v>23</v>
      </c>
      <c r="H529">
        <v>63</v>
      </c>
      <c r="I529">
        <v>1.1499999999999999</v>
      </c>
      <c r="J529">
        <v>0.61</v>
      </c>
      <c r="K529" t="s">
        <v>15</v>
      </c>
      <c r="L529">
        <v>103</v>
      </c>
      <c r="M529">
        <v>166</v>
      </c>
      <c r="N529">
        <v>68</v>
      </c>
      <c r="O529">
        <v>55</v>
      </c>
      <c r="P529" t="s">
        <v>44</v>
      </c>
    </row>
    <row r="530" spans="1:16" x14ac:dyDescent="0.25">
      <c r="A530">
        <v>537</v>
      </c>
      <c r="B530" s="2">
        <v>44018.675694444442</v>
      </c>
      <c r="C530" s="2">
        <v>44019.341666666667</v>
      </c>
      <c r="D530">
        <v>3</v>
      </c>
      <c r="E530" t="s">
        <v>4</v>
      </c>
      <c r="F530" t="s">
        <v>10</v>
      </c>
      <c r="G530" t="s">
        <v>26</v>
      </c>
      <c r="H530">
        <v>65</v>
      </c>
      <c r="I530">
        <v>1.31</v>
      </c>
      <c r="J530">
        <v>0.57999999999999996</v>
      </c>
      <c r="K530" t="s">
        <v>15</v>
      </c>
      <c r="L530">
        <v>82</v>
      </c>
      <c r="M530">
        <v>189</v>
      </c>
      <c r="N530">
        <v>91</v>
      </c>
      <c r="O530">
        <v>60</v>
      </c>
      <c r="P530" t="s">
        <v>44</v>
      </c>
    </row>
    <row r="531" spans="1:16" x14ac:dyDescent="0.25">
      <c r="A531">
        <v>538</v>
      </c>
      <c r="B531" s="2">
        <v>44014.583333333336</v>
      </c>
      <c r="C531" s="2">
        <v>44019.34375</v>
      </c>
      <c r="D531">
        <v>4</v>
      </c>
      <c r="E531" t="s">
        <v>6</v>
      </c>
      <c r="F531" t="s">
        <v>10</v>
      </c>
      <c r="G531" t="s">
        <v>24</v>
      </c>
      <c r="H531">
        <v>85</v>
      </c>
      <c r="I531">
        <v>10.77</v>
      </c>
      <c r="J531">
        <v>3.33</v>
      </c>
      <c r="K531" t="s">
        <v>13</v>
      </c>
      <c r="L531">
        <v>63</v>
      </c>
      <c r="M531">
        <v>156</v>
      </c>
      <c r="N531">
        <v>76</v>
      </c>
      <c r="O531">
        <v>60</v>
      </c>
      <c r="P531" t="s">
        <v>44</v>
      </c>
    </row>
    <row r="532" spans="1:16" x14ac:dyDescent="0.25">
      <c r="A532">
        <v>539</v>
      </c>
      <c r="B532" s="2">
        <v>44018.666666666664</v>
      </c>
      <c r="C532" s="2">
        <v>44019.34652777778</v>
      </c>
      <c r="D532">
        <v>5</v>
      </c>
      <c r="E532" t="s">
        <v>4</v>
      </c>
      <c r="F532" t="s">
        <v>10</v>
      </c>
      <c r="G532" t="s">
        <v>21</v>
      </c>
      <c r="H532">
        <v>77</v>
      </c>
      <c r="I532">
        <v>4.29</v>
      </c>
      <c r="J532">
        <v>1.66</v>
      </c>
      <c r="K532" t="s">
        <v>15</v>
      </c>
      <c r="L532">
        <v>74</v>
      </c>
      <c r="M532">
        <v>190</v>
      </c>
      <c r="N532">
        <v>95</v>
      </c>
      <c r="O532">
        <v>56</v>
      </c>
      <c r="P532" t="s">
        <v>44</v>
      </c>
    </row>
    <row r="533" spans="1:16" x14ac:dyDescent="0.25">
      <c r="A533">
        <v>540</v>
      </c>
      <c r="B533" s="2">
        <v>44019.324305555558</v>
      </c>
      <c r="C533" s="2">
        <v>44019.548611111109</v>
      </c>
      <c r="D533">
        <v>5</v>
      </c>
      <c r="E533" t="s">
        <v>4</v>
      </c>
      <c r="F533" t="s">
        <v>10</v>
      </c>
      <c r="G533" t="s">
        <v>21</v>
      </c>
      <c r="H533">
        <v>67</v>
      </c>
      <c r="I533">
        <v>2.84</v>
      </c>
      <c r="J533">
        <v>1.1599999999999999</v>
      </c>
      <c r="K533" t="s">
        <v>15</v>
      </c>
      <c r="L533">
        <v>85</v>
      </c>
      <c r="M533">
        <v>180</v>
      </c>
      <c r="N533">
        <v>90</v>
      </c>
      <c r="O533">
        <v>56</v>
      </c>
      <c r="P533" t="s">
        <v>44</v>
      </c>
    </row>
    <row r="534" spans="1:16" x14ac:dyDescent="0.25">
      <c r="A534">
        <v>541</v>
      </c>
      <c r="B534" s="2">
        <v>44019.314583333333</v>
      </c>
      <c r="C534" s="2">
        <v>44019.583333333336</v>
      </c>
      <c r="D534">
        <v>3</v>
      </c>
      <c r="E534" t="s">
        <v>4</v>
      </c>
      <c r="F534" t="s">
        <v>11</v>
      </c>
      <c r="G534" t="s">
        <v>26</v>
      </c>
      <c r="H534">
        <v>59</v>
      </c>
      <c r="I534">
        <v>1.51</v>
      </c>
      <c r="J534">
        <v>0.96</v>
      </c>
      <c r="K534" t="s">
        <v>15</v>
      </c>
      <c r="L534">
        <v>88</v>
      </c>
      <c r="M534">
        <v>171</v>
      </c>
      <c r="N534">
        <v>115</v>
      </c>
      <c r="O534">
        <v>55</v>
      </c>
      <c r="P534" t="s">
        <v>44</v>
      </c>
    </row>
    <row r="535" spans="1:16" x14ac:dyDescent="0.25">
      <c r="A535">
        <v>542</v>
      </c>
      <c r="B535" s="2">
        <v>44018.675694444442</v>
      </c>
      <c r="C535" s="2">
        <v>44019.660416666666</v>
      </c>
      <c r="D535">
        <v>4</v>
      </c>
      <c r="E535" t="s">
        <v>4</v>
      </c>
      <c r="F535" t="s">
        <v>3</v>
      </c>
      <c r="G535" t="s">
        <v>24</v>
      </c>
      <c r="H535">
        <v>61</v>
      </c>
      <c r="I535">
        <v>2.37</v>
      </c>
      <c r="J535">
        <v>0.86</v>
      </c>
      <c r="K535" t="s">
        <v>15</v>
      </c>
      <c r="L535">
        <v>174</v>
      </c>
      <c r="M535">
        <v>180</v>
      </c>
      <c r="N535">
        <v>93</v>
      </c>
      <c r="O535">
        <v>68</v>
      </c>
      <c r="P535" t="s">
        <v>44</v>
      </c>
    </row>
    <row r="536" spans="1:16" x14ac:dyDescent="0.25">
      <c r="A536">
        <v>543</v>
      </c>
      <c r="B536" s="2">
        <v>44017.427777777775</v>
      </c>
      <c r="C536" s="2">
        <v>44020.342361111114</v>
      </c>
      <c r="D536">
        <v>6</v>
      </c>
      <c r="E536" t="s">
        <v>4</v>
      </c>
      <c r="F536" t="s">
        <v>3</v>
      </c>
      <c r="G536" t="s">
        <v>30</v>
      </c>
      <c r="H536">
        <v>58</v>
      </c>
      <c r="I536">
        <v>2.44</v>
      </c>
      <c r="J536">
        <v>0.81</v>
      </c>
      <c r="K536" t="s">
        <v>15</v>
      </c>
      <c r="L536">
        <v>69</v>
      </c>
      <c r="M536">
        <v>169</v>
      </c>
      <c r="N536">
        <v>106</v>
      </c>
      <c r="O536">
        <v>42</v>
      </c>
      <c r="P536" t="s">
        <v>46</v>
      </c>
    </row>
    <row r="537" spans="1:16" x14ac:dyDescent="0.25">
      <c r="A537">
        <v>544</v>
      </c>
      <c r="B537" s="2">
        <v>44019.597222222219</v>
      </c>
      <c r="C537" s="2">
        <v>44020.345138888886</v>
      </c>
      <c r="D537">
        <v>3</v>
      </c>
      <c r="E537" t="s">
        <v>4</v>
      </c>
      <c r="F537" t="s">
        <v>3</v>
      </c>
      <c r="G537" t="s">
        <v>28</v>
      </c>
      <c r="H537">
        <v>22</v>
      </c>
      <c r="I537">
        <v>3.13</v>
      </c>
      <c r="J537">
        <v>2.21</v>
      </c>
      <c r="K537" t="s">
        <v>15</v>
      </c>
      <c r="L537">
        <v>99</v>
      </c>
      <c r="M537">
        <v>183</v>
      </c>
      <c r="N537">
        <v>106</v>
      </c>
      <c r="O537">
        <v>65</v>
      </c>
      <c r="P537" t="s">
        <v>44</v>
      </c>
    </row>
    <row r="538" spans="1:16" x14ac:dyDescent="0.25">
      <c r="A538">
        <v>545</v>
      </c>
      <c r="B538" s="2">
        <v>44018.899305555555</v>
      </c>
      <c r="C538" s="2">
        <v>44020.347222222219</v>
      </c>
      <c r="D538">
        <v>4</v>
      </c>
      <c r="E538" t="s">
        <v>6</v>
      </c>
      <c r="F538" t="s">
        <v>3</v>
      </c>
      <c r="G538" t="s">
        <v>35</v>
      </c>
      <c r="H538">
        <v>48</v>
      </c>
      <c r="I538">
        <v>5.03</v>
      </c>
      <c r="J538">
        <v>2.67</v>
      </c>
      <c r="K538" t="s">
        <v>15</v>
      </c>
      <c r="L538">
        <v>138</v>
      </c>
      <c r="M538">
        <v>172</v>
      </c>
      <c r="N538">
        <v>88</v>
      </c>
      <c r="O538">
        <v>63</v>
      </c>
      <c r="P538" t="s">
        <v>44</v>
      </c>
    </row>
    <row r="539" spans="1:16" x14ac:dyDescent="0.25">
      <c r="A539">
        <v>546</v>
      </c>
      <c r="B539" s="2">
        <v>44020.298611111109</v>
      </c>
      <c r="C539" s="2">
        <v>44020.578472222223</v>
      </c>
      <c r="D539">
        <v>6</v>
      </c>
      <c r="E539" t="s">
        <v>4</v>
      </c>
      <c r="F539" t="s">
        <v>3</v>
      </c>
      <c r="G539" t="s">
        <v>30</v>
      </c>
      <c r="H539">
        <v>70</v>
      </c>
      <c r="I539">
        <v>10.09</v>
      </c>
      <c r="J539">
        <v>2.88</v>
      </c>
      <c r="K539" t="s">
        <v>15</v>
      </c>
      <c r="L539">
        <v>83</v>
      </c>
      <c r="M539">
        <v>168</v>
      </c>
      <c r="N539">
        <v>116</v>
      </c>
      <c r="O539">
        <v>60</v>
      </c>
      <c r="P539" t="s">
        <v>44</v>
      </c>
    </row>
    <row r="540" spans="1:16" x14ac:dyDescent="0.25">
      <c r="A540">
        <v>547</v>
      </c>
      <c r="B540" s="2">
        <v>44020.291666666664</v>
      </c>
      <c r="C540" s="2">
        <v>44020.588194444441</v>
      </c>
      <c r="D540">
        <v>3</v>
      </c>
      <c r="E540" t="s">
        <v>4</v>
      </c>
      <c r="F540" t="s">
        <v>3</v>
      </c>
      <c r="G540" t="s">
        <v>28</v>
      </c>
      <c r="H540">
        <v>57</v>
      </c>
      <c r="I540">
        <v>1.51</v>
      </c>
      <c r="J540">
        <v>1.31</v>
      </c>
      <c r="K540" t="s">
        <v>15</v>
      </c>
      <c r="L540">
        <v>85</v>
      </c>
      <c r="M540">
        <v>151</v>
      </c>
      <c r="N540">
        <v>64</v>
      </c>
      <c r="O540">
        <v>56</v>
      </c>
      <c r="P540" t="s">
        <v>44</v>
      </c>
    </row>
    <row r="541" spans="1:16" x14ac:dyDescent="0.25">
      <c r="A541">
        <v>548</v>
      </c>
      <c r="B541" s="2">
        <v>44020.28125</v>
      </c>
      <c r="C541" s="2">
        <v>44020.628472222219</v>
      </c>
      <c r="D541">
        <v>4</v>
      </c>
      <c r="E541" t="s">
        <v>4</v>
      </c>
      <c r="F541" t="s">
        <v>3</v>
      </c>
      <c r="G541" t="s">
        <v>35</v>
      </c>
      <c r="H541">
        <v>59</v>
      </c>
      <c r="I541">
        <v>1.51</v>
      </c>
      <c r="J541">
        <v>0.5</v>
      </c>
      <c r="K541" t="s">
        <v>15</v>
      </c>
      <c r="L541">
        <v>74</v>
      </c>
      <c r="M541">
        <v>174</v>
      </c>
      <c r="N541">
        <v>56</v>
      </c>
      <c r="O541">
        <v>40</v>
      </c>
      <c r="P541" t="s">
        <v>46</v>
      </c>
    </row>
    <row r="542" spans="1:16" x14ac:dyDescent="0.25">
      <c r="A542">
        <v>549</v>
      </c>
      <c r="B542" s="2">
        <v>44021.107638888891</v>
      </c>
      <c r="C542" s="2">
        <v>44021.135416666664</v>
      </c>
      <c r="D542">
        <v>1</v>
      </c>
      <c r="E542" t="s">
        <v>2</v>
      </c>
      <c r="F542" t="s">
        <v>1</v>
      </c>
      <c r="G542" t="s">
        <v>30</v>
      </c>
      <c r="H542">
        <v>51</v>
      </c>
      <c r="I542">
        <v>5.04</v>
      </c>
      <c r="J542">
        <v>2.3199999999999998</v>
      </c>
      <c r="K542" t="s">
        <v>15</v>
      </c>
      <c r="L542">
        <v>128</v>
      </c>
      <c r="M542">
        <v>170</v>
      </c>
      <c r="N542">
        <v>63</v>
      </c>
      <c r="O542">
        <v>55</v>
      </c>
      <c r="P542" t="s">
        <v>44</v>
      </c>
    </row>
    <row r="543" spans="1:16" x14ac:dyDescent="0.25">
      <c r="A543">
        <v>550</v>
      </c>
      <c r="B543" s="2">
        <v>44020.649305555555</v>
      </c>
      <c r="C543" s="2">
        <v>44021.326388888891</v>
      </c>
      <c r="D543">
        <v>5</v>
      </c>
      <c r="E543" t="s">
        <v>4</v>
      </c>
      <c r="F543" t="s">
        <v>10</v>
      </c>
      <c r="G543" t="s">
        <v>32</v>
      </c>
      <c r="H543">
        <v>76</v>
      </c>
      <c r="I543">
        <v>4.03</v>
      </c>
      <c r="J543">
        <v>2.5099999999999998</v>
      </c>
      <c r="K543" t="s">
        <v>15</v>
      </c>
      <c r="L543">
        <v>86</v>
      </c>
      <c r="M543">
        <v>160</v>
      </c>
      <c r="N543">
        <v>93</v>
      </c>
      <c r="O543">
        <v>37</v>
      </c>
      <c r="P543" t="s">
        <v>46</v>
      </c>
    </row>
    <row r="544" spans="1:16" x14ac:dyDescent="0.25">
      <c r="A544">
        <v>551</v>
      </c>
      <c r="B544" s="2">
        <v>44017.349305555559</v>
      </c>
      <c r="C544" s="2">
        <v>44021.347916666666</v>
      </c>
      <c r="D544">
        <v>4</v>
      </c>
      <c r="E544" t="s">
        <v>6</v>
      </c>
      <c r="F544" t="s">
        <v>10</v>
      </c>
      <c r="G544" t="s">
        <v>31</v>
      </c>
      <c r="H544">
        <v>63</v>
      </c>
      <c r="I544">
        <v>20.71</v>
      </c>
      <c r="J544">
        <v>12.67</v>
      </c>
      <c r="K544" t="s">
        <v>15</v>
      </c>
      <c r="L544">
        <v>64</v>
      </c>
      <c r="M544">
        <v>160</v>
      </c>
      <c r="N544">
        <v>75</v>
      </c>
      <c r="O544">
        <v>55</v>
      </c>
      <c r="P544" t="s">
        <v>44</v>
      </c>
    </row>
    <row r="545" spans="1:16" x14ac:dyDescent="0.25">
      <c r="A545">
        <v>552</v>
      </c>
      <c r="B545" s="2">
        <v>44020.656944444447</v>
      </c>
      <c r="C545" s="2">
        <v>44021.404861111114</v>
      </c>
      <c r="D545">
        <v>3</v>
      </c>
      <c r="E545" t="s">
        <v>4</v>
      </c>
      <c r="F545" t="s">
        <v>11</v>
      </c>
      <c r="G545" t="s">
        <v>27</v>
      </c>
      <c r="H545">
        <v>83</v>
      </c>
      <c r="I545">
        <v>10.32</v>
      </c>
      <c r="J545">
        <v>2.4900000000000002</v>
      </c>
      <c r="K545" t="s">
        <v>15</v>
      </c>
      <c r="L545">
        <v>81</v>
      </c>
      <c r="M545">
        <v>173</v>
      </c>
      <c r="N545">
        <v>108</v>
      </c>
      <c r="O545">
        <v>55</v>
      </c>
      <c r="P545" t="s">
        <v>44</v>
      </c>
    </row>
    <row r="546" spans="1:16" x14ac:dyDescent="0.25">
      <c r="A546">
        <v>553</v>
      </c>
      <c r="B546" s="2">
        <v>44021.298611111109</v>
      </c>
      <c r="C546" s="2">
        <v>44021.504166666666</v>
      </c>
      <c r="D546">
        <v>6</v>
      </c>
      <c r="E546" t="s">
        <v>4</v>
      </c>
      <c r="F546" t="s">
        <v>3</v>
      </c>
      <c r="G546" t="s">
        <v>31</v>
      </c>
      <c r="H546">
        <v>60</v>
      </c>
      <c r="I546">
        <v>1.61</v>
      </c>
      <c r="J546">
        <v>0.56000000000000005</v>
      </c>
      <c r="K546" t="s">
        <v>15</v>
      </c>
      <c r="L546">
        <v>67</v>
      </c>
      <c r="M546">
        <v>178</v>
      </c>
      <c r="N546">
        <v>101</v>
      </c>
      <c r="O546">
        <v>45</v>
      </c>
      <c r="P546" t="s">
        <v>46</v>
      </c>
    </row>
    <row r="547" spans="1:16" x14ac:dyDescent="0.25">
      <c r="A547">
        <v>554</v>
      </c>
      <c r="B547" s="2">
        <v>44019.463888888888</v>
      </c>
      <c r="C547" s="2">
        <v>44021.615972222222</v>
      </c>
      <c r="D547">
        <v>3</v>
      </c>
      <c r="E547" t="s">
        <v>6</v>
      </c>
      <c r="F547" t="s">
        <v>10</v>
      </c>
      <c r="G547" t="s">
        <v>27</v>
      </c>
      <c r="H547">
        <v>64</v>
      </c>
      <c r="I547">
        <v>6.01</v>
      </c>
      <c r="J547">
        <v>2.21</v>
      </c>
      <c r="K547" t="s">
        <v>15</v>
      </c>
      <c r="L547">
        <v>106</v>
      </c>
      <c r="M547">
        <v>170</v>
      </c>
      <c r="N547">
        <v>89</v>
      </c>
      <c r="O547">
        <v>55</v>
      </c>
      <c r="P547" t="s">
        <v>44</v>
      </c>
    </row>
    <row r="548" spans="1:16" x14ac:dyDescent="0.25">
      <c r="A548">
        <v>555</v>
      </c>
      <c r="B548" s="2">
        <v>44021.291666666664</v>
      </c>
      <c r="C548" s="2">
        <v>44021.674305555556</v>
      </c>
      <c r="D548">
        <v>5</v>
      </c>
      <c r="E548" t="s">
        <v>4</v>
      </c>
      <c r="F548" t="s">
        <v>3</v>
      </c>
      <c r="G548" t="s">
        <v>32</v>
      </c>
      <c r="H548">
        <v>82</v>
      </c>
      <c r="I548">
        <v>6.61</v>
      </c>
      <c r="J548">
        <v>1.69</v>
      </c>
      <c r="K548" t="s">
        <v>15</v>
      </c>
      <c r="L548">
        <v>92</v>
      </c>
      <c r="M548">
        <v>163</v>
      </c>
      <c r="N548">
        <v>62</v>
      </c>
      <c r="O548">
        <v>65</v>
      </c>
      <c r="P548" t="s">
        <v>44</v>
      </c>
    </row>
    <row r="549" spans="1:16" x14ac:dyDescent="0.25">
      <c r="A549">
        <v>556</v>
      </c>
      <c r="B549" s="2">
        <v>44021.663888888892</v>
      </c>
      <c r="C549" s="2">
        <v>44022.329861111109</v>
      </c>
      <c r="D549">
        <v>4</v>
      </c>
      <c r="E549" t="s">
        <v>4</v>
      </c>
      <c r="F549" t="s">
        <v>3</v>
      </c>
      <c r="G549" t="s">
        <v>35</v>
      </c>
      <c r="H549">
        <v>87</v>
      </c>
      <c r="I549">
        <v>12.08</v>
      </c>
      <c r="J549">
        <v>7.44</v>
      </c>
      <c r="K549" t="s">
        <v>15</v>
      </c>
      <c r="L549">
        <v>75</v>
      </c>
      <c r="M549">
        <v>180</v>
      </c>
      <c r="N549">
        <v>75</v>
      </c>
      <c r="O549">
        <v>25</v>
      </c>
      <c r="P549" t="s">
        <v>45</v>
      </c>
    </row>
    <row r="550" spans="1:16" x14ac:dyDescent="0.25">
      <c r="A550">
        <v>557</v>
      </c>
      <c r="B550" s="2">
        <v>44010.607638888891</v>
      </c>
      <c r="C550" s="2">
        <v>44022.345833333333</v>
      </c>
      <c r="D550">
        <v>5</v>
      </c>
      <c r="E550" t="s">
        <v>4</v>
      </c>
      <c r="F550" t="s">
        <v>11</v>
      </c>
      <c r="G550" t="s">
        <v>21</v>
      </c>
      <c r="H550">
        <v>60</v>
      </c>
      <c r="I550">
        <v>2.42</v>
      </c>
      <c r="J550">
        <v>2.13</v>
      </c>
      <c r="K550" t="s">
        <v>15</v>
      </c>
      <c r="L550">
        <v>87</v>
      </c>
      <c r="M550">
        <v>170</v>
      </c>
      <c r="N550">
        <v>124</v>
      </c>
      <c r="O550">
        <v>60</v>
      </c>
      <c r="P550" t="s">
        <v>44</v>
      </c>
    </row>
    <row r="551" spans="1:16" x14ac:dyDescent="0.25">
      <c r="A551">
        <v>558</v>
      </c>
      <c r="B551" s="2">
        <v>44020.433333333334</v>
      </c>
      <c r="C551" s="2">
        <v>44022.349305555559</v>
      </c>
      <c r="D551">
        <v>3</v>
      </c>
      <c r="E551" t="s">
        <v>6</v>
      </c>
      <c r="F551" t="s">
        <v>11</v>
      </c>
      <c r="G551" t="s">
        <v>30</v>
      </c>
      <c r="H551">
        <v>72</v>
      </c>
      <c r="I551">
        <v>2.0699999999999998</v>
      </c>
      <c r="J551">
        <v>1.44</v>
      </c>
      <c r="K551" t="s">
        <v>15</v>
      </c>
      <c r="L551">
        <v>70</v>
      </c>
      <c r="M551">
        <v>158</v>
      </c>
      <c r="N551">
        <v>86</v>
      </c>
      <c r="O551">
        <v>65</v>
      </c>
      <c r="P551" t="s">
        <v>44</v>
      </c>
    </row>
    <row r="552" spans="1:16" x14ac:dyDescent="0.25">
      <c r="A552">
        <v>559</v>
      </c>
      <c r="B552" s="2">
        <v>44022.292361111111</v>
      </c>
      <c r="C552" s="2">
        <v>44022.574305555558</v>
      </c>
      <c r="D552">
        <v>3</v>
      </c>
      <c r="E552" t="s">
        <v>4</v>
      </c>
      <c r="F552" t="s">
        <v>3</v>
      </c>
      <c r="G552" t="s">
        <v>30</v>
      </c>
      <c r="H552">
        <v>62</v>
      </c>
      <c r="I552">
        <v>2.5299999999999998</v>
      </c>
      <c r="J552">
        <v>0.89</v>
      </c>
      <c r="K552" t="s">
        <v>15</v>
      </c>
      <c r="L552">
        <v>82</v>
      </c>
      <c r="M552">
        <v>167</v>
      </c>
      <c r="N552">
        <v>106</v>
      </c>
      <c r="O552">
        <v>35</v>
      </c>
      <c r="P552" t="s">
        <v>46</v>
      </c>
    </row>
    <row r="553" spans="1:16" x14ac:dyDescent="0.25">
      <c r="A553">
        <v>560</v>
      </c>
      <c r="B553" s="2">
        <v>44022.289583333331</v>
      </c>
      <c r="C553" s="2">
        <v>44022.609027777777</v>
      </c>
      <c r="D553">
        <v>1</v>
      </c>
      <c r="E553" t="s">
        <v>4</v>
      </c>
      <c r="F553" t="s">
        <v>10</v>
      </c>
      <c r="G553" t="s">
        <v>21</v>
      </c>
      <c r="H553">
        <v>57</v>
      </c>
      <c r="I553">
        <v>0.88</v>
      </c>
      <c r="J553">
        <v>0.5</v>
      </c>
      <c r="K553" t="s">
        <v>15</v>
      </c>
      <c r="L553">
        <v>94</v>
      </c>
      <c r="M553">
        <v>193</v>
      </c>
      <c r="N553">
        <v>90</v>
      </c>
      <c r="O553">
        <v>52</v>
      </c>
      <c r="P553" t="s">
        <v>44</v>
      </c>
    </row>
    <row r="554" spans="1:16" x14ac:dyDescent="0.25">
      <c r="A554">
        <v>561</v>
      </c>
      <c r="B554" s="2">
        <v>44014.409722222219</v>
      </c>
      <c r="C554" s="2">
        <v>44023.340277777781</v>
      </c>
      <c r="D554">
        <v>4</v>
      </c>
      <c r="E554" t="s">
        <v>6</v>
      </c>
      <c r="F554" t="s">
        <v>10</v>
      </c>
      <c r="G554" t="s">
        <v>27</v>
      </c>
      <c r="H554">
        <v>73</v>
      </c>
      <c r="I554">
        <v>6</v>
      </c>
      <c r="J554">
        <v>2.5099999999999998</v>
      </c>
      <c r="K554" t="s">
        <v>15</v>
      </c>
      <c r="L554">
        <v>143</v>
      </c>
      <c r="M554">
        <v>175</v>
      </c>
      <c r="N554">
        <v>100</v>
      </c>
      <c r="O554">
        <v>65</v>
      </c>
      <c r="P554" t="s">
        <v>44</v>
      </c>
    </row>
    <row r="555" spans="1:16" x14ac:dyDescent="0.25">
      <c r="A555">
        <v>562</v>
      </c>
      <c r="B555" s="2">
        <v>44022.59375</v>
      </c>
      <c r="C555" s="2">
        <v>44023.349305555559</v>
      </c>
      <c r="D555">
        <v>5</v>
      </c>
      <c r="E555" t="s">
        <v>4</v>
      </c>
      <c r="F555" t="s">
        <v>3</v>
      </c>
      <c r="G555" t="s">
        <v>36</v>
      </c>
      <c r="H555">
        <v>77</v>
      </c>
      <c r="I555">
        <v>16.13</v>
      </c>
      <c r="J555">
        <v>23.74</v>
      </c>
      <c r="K555" t="s">
        <v>13</v>
      </c>
      <c r="L555">
        <v>82</v>
      </c>
      <c r="M555">
        <v>150</v>
      </c>
      <c r="N555">
        <v>50</v>
      </c>
      <c r="O555">
        <v>41</v>
      </c>
      <c r="P555" t="s">
        <v>46</v>
      </c>
    </row>
    <row r="556" spans="1:16" x14ac:dyDescent="0.25">
      <c r="A556">
        <v>563</v>
      </c>
      <c r="B556" s="2">
        <v>44023.291666666664</v>
      </c>
      <c r="C556" s="2">
        <v>44023.604166666664</v>
      </c>
      <c r="D556">
        <v>4</v>
      </c>
      <c r="E556" t="s">
        <v>4</v>
      </c>
      <c r="F556" t="s">
        <v>3</v>
      </c>
      <c r="G556" t="s">
        <v>27</v>
      </c>
      <c r="H556">
        <v>68</v>
      </c>
      <c r="I556">
        <v>2.71</v>
      </c>
      <c r="J556">
        <v>0.7</v>
      </c>
      <c r="K556" t="s">
        <v>15</v>
      </c>
      <c r="L556">
        <v>79</v>
      </c>
      <c r="M556">
        <v>175</v>
      </c>
      <c r="N556">
        <v>93</v>
      </c>
      <c r="O556">
        <v>36</v>
      </c>
      <c r="P556" t="s">
        <v>46</v>
      </c>
    </row>
    <row r="557" spans="1:16" x14ac:dyDescent="0.25">
      <c r="A557">
        <v>564</v>
      </c>
      <c r="B557" s="2">
        <v>44024.576388888891</v>
      </c>
      <c r="C557" s="2">
        <v>44025.338888888888</v>
      </c>
      <c r="D557">
        <v>3</v>
      </c>
      <c r="E557" t="s">
        <v>4</v>
      </c>
      <c r="F557" t="s">
        <v>3</v>
      </c>
      <c r="G557" t="s">
        <v>29</v>
      </c>
      <c r="H557">
        <v>72</v>
      </c>
      <c r="I557">
        <v>14.6</v>
      </c>
      <c r="J557">
        <v>7.61</v>
      </c>
      <c r="K557" t="s">
        <v>15</v>
      </c>
      <c r="L557">
        <v>77</v>
      </c>
      <c r="M557">
        <v>170</v>
      </c>
      <c r="N557">
        <v>69</v>
      </c>
      <c r="O557">
        <v>55</v>
      </c>
      <c r="P557" t="s">
        <v>44</v>
      </c>
    </row>
    <row r="558" spans="1:16" x14ac:dyDescent="0.25">
      <c r="A558">
        <v>565</v>
      </c>
      <c r="B558" s="2">
        <v>44024.583333333336</v>
      </c>
      <c r="C558" s="2">
        <v>44025.345833333333</v>
      </c>
      <c r="D558">
        <v>4</v>
      </c>
      <c r="E558" t="s">
        <v>4</v>
      </c>
      <c r="F558" t="s">
        <v>11</v>
      </c>
      <c r="G558" t="s">
        <v>23</v>
      </c>
      <c r="H558">
        <v>82</v>
      </c>
      <c r="I558">
        <v>8.9700000000000006</v>
      </c>
      <c r="J558">
        <v>2.68</v>
      </c>
      <c r="K558" t="s">
        <v>15</v>
      </c>
      <c r="L558">
        <v>119</v>
      </c>
      <c r="M558">
        <v>184</v>
      </c>
      <c r="N558">
        <v>93</v>
      </c>
      <c r="O558">
        <v>45</v>
      </c>
      <c r="P558" t="s">
        <v>46</v>
      </c>
    </row>
    <row r="559" spans="1:16" x14ac:dyDescent="0.25">
      <c r="A559">
        <v>566</v>
      </c>
      <c r="B559" s="2">
        <v>44022.441666666666</v>
      </c>
      <c r="C559" s="2">
        <v>44025.349305555559</v>
      </c>
      <c r="D559">
        <v>6</v>
      </c>
      <c r="E559" t="s">
        <v>4</v>
      </c>
      <c r="F559" t="s">
        <v>11</v>
      </c>
      <c r="G559" t="s">
        <v>32</v>
      </c>
      <c r="H559">
        <v>73</v>
      </c>
      <c r="I559">
        <v>8.5399999999999991</v>
      </c>
      <c r="J559">
        <v>2.69</v>
      </c>
      <c r="K559" t="s">
        <v>15</v>
      </c>
      <c r="L559">
        <v>111</v>
      </c>
      <c r="M559">
        <v>175</v>
      </c>
      <c r="N559">
        <v>75</v>
      </c>
      <c r="O559">
        <v>40</v>
      </c>
      <c r="P559" t="s">
        <v>46</v>
      </c>
    </row>
    <row r="560" spans="1:16" x14ac:dyDescent="0.25">
      <c r="A560">
        <v>567</v>
      </c>
      <c r="B560" s="2">
        <v>44025.291666666664</v>
      </c>
      <c r="C560" s="2">
        <v>44025.575694444444</v>
      </c>
      <c r="D560">
        <v>4</v>
      </c>
      <c r="E560" t="s">
        <v>4</v>
      </c>
      <c r="F560" t="s">
        <v>1</v>
      </c>
      <c r="G560" t="s">
        <v>23</v>
      </c>
      <c r="H560">
        <v>58</v>
      </c>
      <c r="I560">
        <v>6.9</v>
      </c>
      <c r="J560">
        <v>1.31</v>
      </c>
      <c r="K560" t="s">
        <v>15</v>
      </c>
      <c r="L560">
        <v>80</v>
      </c>
      <c r="M560">
        <v>168</v>
      </c>
      <c r="N560">
        <v>120</v>
      </c>
      <c r="O560">
        <v>22</v>
      </c>
      <c r="P560" t="s">
        <v>45</v>
      </c>
    </row>
    <row r="561" spans="1:16" x14ac:dyDescent="0.25">
      <c r="A561">
        <v>568</v>
      </c>
      <c r="B561" s="2">
        <v>44024.458333333336</v>
      </c>
      <c r="C561" s="2">
        <v>44025.579861111109</v>
      </c>
      <c r="D561">
        <v>6</v>
      </c>
      <c r="E561" t="s">
        <v>4</v>
      </c>
      <c r="F561" t="s">
        <v>3</v>
      </c>
      <c r="G561" t="s">
        <v>32</v>
      </c>
      <c r="H561">
        <v>57</v>
      </c>
      <c r="I561">
        <v>3.94</v>
      </c>
      <c r="J561">
        <v>1.8</v>
      </c>
      <c r="K561" t="s">
        <v>15</v>
      </c>
      <c r="L561">
        <v>64</v>
      </c>
      <c r="M561">
        <v>178</v>
      </c>
      <c r="N561">
        <v>89</v>
      </c>
      <c r="O561">
        <v>45</v>
      </c>
      <c r="P561" t="s">
        <v>46</v>
      </c>
    </row>
    <row r="562" spans="1:16" x14ac:dyDescent="0.25">
      <c r="A562">
        <v>569</v>
      </c>
      <c r="B562" s="2">
        <v>44016.066666666666</v>
      </c>
      <c r="C562" s="2">
        <v>44026.340277777781</v>
      </c>
      <c r="D562">
        <v>4</v>
      </c>
      <c r="E562" t="s">
        <v>6</v>
      </c>
      <c r="F562" t="s">
        <v>10</v>
      </c>
      <c r="G562" t="s">
        <v>21</v>
      </c>
      <c r="H562">
        <v>72</v>
      </c>
      <c r="I562">
        <v>11.99</v>
      </c>
      <c r="J562">
        <v>4.8499999999999996</v>
      </c>
      <c r="K562" t="s">
        <v>15</v>
      </c>
      <c r="L562">
        <v>68</v>
      </c>
      <c r="M562">
        <v>170</v>
      </c>
      <c r="N562">
        <v>130</v>
      </c>
      <c r="O562">
        <v>65</v>
      </c>
      <c r="P562" t="s">
        <v>44</v>
      </c>
    </row>
    <row r="563" spans="1:16" x14ac:dyDescent="0.25">
      <c r="A563">
        <v>570</v>
      </c>
      <c r="B563" s="2">
        <v>44025.664583333331</v>
      </c>
      <c r="C563" s="2">
        <v>44026.347222222219</v>
      </c>
      <c r="D563">
        <v>5</v>
      </c>
      <c r="E563" t="s">
        <v>4</v>
      </c>
      <c r="F563" t="s">
        <v>11</v>
      </c>
      <c r="G563" t="s">
        <v>28</v>
      </c>
      <c r="H563">
        <v>71</v>
      </c>
      <c r="I563">
        <v>3.29</v>
      </c>
      <c r="J563">
        <v>1.78</v>
      </c>
      <c r="K563" t="s">
        <v>15</v>
      </c>
      <c r="L563">
        <v>66</v>
      </c>
      <c r="M563">
        <v>152</v>
      </c>
      <c r="N563">
        <v>51</v>
      </c>
      <c r="O563">
        <v>53</v>
      </c>
      <c r="P563" t="s">
        <v>44</v>
      </c>
    </row>
    <row r="564" spans="1:16" x14ac:dyDescent="0.25">
      <c r="A564">
        <v>571</v>
      </c>
      <c r="B564" s="2">
        <v>44025.634027777778</v>
      </c>
      <c r="C564" s="2">
        <v>44026.368055555555</v>
      </c>
      <c r="D564">
        <v>2</v>
      </c>
      <c r="E564" t="s">
        <v>6</v>
      </c>
      <c r="F564" t="s">
        <v>10</v>
      </c>
      <c r="G564" t="s">
        <v>33</v>
      </c>
      <c r="H564">
        <v>73</v>
      </c>
      <c r="I564">
        <v>8.98</v>
      </c>
      <c r="J564">
        <v>5.14</v>
      </c>
      <c r="K564" t="s">
        <v>15</v>
      </c>
      <c r="L564">
        <v>96</v>
      </c>
      <c r="M564">
        <v>172</v>
      </c>
      <c r="N564">
        <v>99</v>
      </c>
      <c r="O564">
        <v>22</v>
      </c>
      <c r="P564" t="s">
        <v>45</v>
      </c>
    </row>
    <row r="565" spans="1:16" x14ac:dyDescent="0.25">
      <c r="A565">
        <v>572</v>
      </c>
      <c r="B565" s="2">
        <v>44026.291666666664</v>
      </c>
      <c r="C565" s="2">
        <v>44026.541666666664</v>
      </c>
      <c r="D565">
        <v>4</v>
      </c>
      <c r="E565" t="s">
        <v>4</v>
      </c>
      <c r="F565" t="s">
        <v>3</v>
      </c>
      <c r="G565" t="s">
        <v>21</v>
      </c>
      <c r="H565">
        <v>55</v>
      </c>
      <c r="I565">
        <v>1.51</v>
      </c>
      <c r="J565">
        <v>0.5</v>
      </c>
      <c r="K565" t="s">
        <v>15</v>
      </c>
      <c r="L565">
        <v>64</v>
      </c>
      <c r="M565">
        <v>183</v>
      </c>
      <c r="N565">
        <v>123</v>
      </c>
      <c r="O565">
        <v>52</v>
      </c>
      <c r="P565" t="s">
        <v>44</v>
      </c>
    </row>
    <row r="566" spans="1:16" x14ac:dyDescent="0.25">
      <c r="A566">
        <v>573</v>
      </c>
      <c r="B566" s="2">
        <v>44026.328472222223</v>
      </c>
      <c r="C566" s="2">
        <v>44026.565972222219</v>
      </c>
      <c r="D566">
        <v>5</v>
      </c>
      <c r="E566" t="s">
        <v>4</v>
      </c>
      <c r="F566" t="s">
        <v>3</v>
      </c>
      <c r="G566" t="s">
        <v>28</v>
      </c>
      <c r="H566">
        <v>67</v>
      </c>
      <c r="I566">
        <v>3.81</v>
      </c>
      <c r="J566">
        <v>2.17</v>
      </c>
      <c r="K566" t="s">
        <v>15</v>
      </c>
      <c r="L566">
        <v>94</v>
      </c>
      <c r="M566">
        <v>165</v>
      </c>
      <c r="N566">
        <v>95</v>
      </c>
      <c r="O566">
        <v>56</v>
      </c>
      <c r="P566" t="s">
        <v>44</v>
      </c>
    </row>
    <row r="567" spans="1:16" x14ac:dyDescent="0.25">
      <c r="A567">
        <v>574</v>
      </c>
      <c r="B567" s="2">
        <v>44026.291666666664</v>
      </c>
      <c r="C567" s="2">
        <v>44026.565972222219</v>
      </c>
      <c r="D567">
        <v>3</v>
      </c>
      <c r="E567" t="s">
        <v>4</v>
      </c>
      <c r="F567" t="s">
        <v>10</v>
      </c>
      <c r="G567" t="s">
        <v>33</v>
      </c>
      <c r="H567">
        <v>64</v>
      </c>
      <c r="I567">
        <v>1.23</v>
      </c>
      <c r="J567">
        <v>0.63</v>
      </c>
      <c r="K567" t="s">
        <v>15</v>
      </c>
      <c r="L567">
        <v>77</v>
      </c>
      <c r="M567">
        <v>170</v>
      </c>
      <c r="N567">
        <v>90</v>
      </c>
      <c r="O567">
        <v>32</v>
      </c>
      <c r="P567" t="s">
        <v>46</v>
      </c>
    </row>
    <row r="568" spans="1:16" x14ac:dyDescent="0.25">
      <c r="A568">
        <v>575</v>
      </c>
      <c r="B568" s="2">
        <v>44025.486111111109</v>
      </c>
      <c r="C568" s="2">
        <v>44027.349305555559</v>
      </c>
      <c r="D568">
        <v>6</v>
      </c>
      <c r="E568" t="s">
        <v>6</v>
      </c>
      <c r="F568" t="s">
        <v>3</v>
      </c>
      <c r="G568" t="s">
        <v>28</v>
      </c>
      <c r="H568">
        <v>84</v>
      </c>
      <c r="I568">
        <v>10.95</v>
      </c>
      <c r="J568">
        <v>4.71</v>
      </c>
      <c r="K568" t="s">
        <v>15</v>
      </c>
      <c r="L568">
        <v>89</v>
      </c>
      <c r="M568">
        <v>170</v>
      </c>
      <c r="N568">
        <v>78</v>
      </c>
      <c r="O568">
        <v>63</v>
      </c>
      <c r="P568" t="s">
        <v>44</v>
      </c>
    </row>
    <row r="569" spans="1:16" x14ac:dyDescent="0.25">
      <c r="A569">
        <v>576</v>
      </c>
      <c r="B569" s="2">
        <v>44026.666666666664</v>
      </c>
      <c r="C569" s="2">
        <v>44027.375</v>
      </c>
      <c r="D569">
        <v>4</v>
      </c>
      <c r="E569" t="s">
        <v>4</v>
      </c>
      <c r="F569" t="s">
        <v>11</v>
      </c>
      <c r="G569" t="s">
        <v>35</v>
      </c>
      <c r="H569">
        <v>75</v>
      </c>
      <c r="I569">
        <v>10.79</v>
      </c>
      <c r="J569">
        <v>5.8</v>
      </c>
      <c r="K569" t="s">
        <v>15</v>
      </c>
      <c r="L569">
        <v>69</v>
      </c>
      <c r="M569">
        <v>183</v>
      </c>
      <c r="N569">
        <v>90</v>
      </c>
      <c r="O569">
        <v>57</v>
      </c>
      <c r="P569" t="s">
        <v>44</v>
      </c>
    </row>
    <row r="570" spans="1:16" x14ac:dyDescent="0.25">
      <c r="A570">
        <v>577</v>
      </c>
      <c r="B570" s="2">
        <v>44027.298611111109</v>
      </c>
      <c r="C570" s="2">
        <v>44027.632638888892</v>
      </c>
      <c r="D570">
        <v>6</v>
      </c>
      <c r="E570" t="s">
        <v>4</v>
      </c>
      <c r="F570" t="s">
        <v>11</v>
      </c>
      <c r="G570" t="s">
        <v>28</v>
      </c>
      <c r="H570">
        <v>81</v>
      </c>
      <c r="I570">
        <v>6.21</v>
      </c>
      <c r="J570">
        <v>1.56</v>
      </c>
      <c r="K570" t="s">
        <v>15</v>
      </c>
      <c r="L570">
        <v>84</v>
      </c>
      <c r="M570">
        <v>160</v>
      </c>
      <c r="N570">
        <v>80</v>
      </c>
      <c r="O570">
        <v>50</v>
      </c>
      <c r="P570" t="s">
        <v>46</v>
      </c>
    </row>
    <row r="571" spans="1:16" x14ac:dyDescent="0.25">
      <c r="A571">
        <v>578</v>
      </c>
      <c r="B571" s="2">
        <v>44024.458333333336</v>
      </c>
      <c r="C571" s="2">
        <v>44028.340277777781</v>
      </c>
      <c r="D571">
        <v>3</v>
      </c>
      <c r="E571" t="s">
        <v>6</v>
      </c>
      <c r="F571" t="s">
        <v>3</v>
      </c>
      <c r="G571" t="s">
        <v>27</v>
      </c>
      <c r="H571">
        <v>56</v>
      </c>
      <c r="I571">
        <v>2.57</v>
      </c>
      <c r="J571">
        <v>0.89</v>
      </c>
      <c r="K571" t="s">
        <v>15</v>
      </c>
      <c r="L571">
        <v>77</v>
      </c>
      <c r="M571">
        <v>172</v>
      </c>
      <c r="N571">
        <v>92</v>
      </c>
      <c r="O571">
        <v>10</v>
      </c>
      <c r="P571" t="s">
        <v>47</v>
      </c>
    </row>
    <row r="572" spans="1:16" x14ac:dyDescent="0.25">
      <c r="A572">
        <v>579</v>
      </c>
      <c r="B572" s="2">
        <v>44023.414583333331</v>
      </c>
      <c r="C572" s="2">
        <v>44028.34652777778</v>
      </c>
      <c r="D572">
        <v>5</v>
      </c>
      <c r="E572" t="s">
        <v>6</v>
      </c>
      <c r="F572" t="s">
        <v>10</v>
      </c>
      <c r="G572" t="s">
        <v>32</v>
      </c>
      <c r="H572">
        <v>49</v>
      </c>
      <c r="I572">
        <v>1.51</v>
      </c>
      <c r="J572">
        <v>1.07</v>
      </c>
      <c r="K572" t="s">
        <v>14</v>
      </c>
      <c r="L572">
        <v>114</v>
      </c>
      <c r="M572">
        <v>174</v>
      </c>
      <c r="N572">
        <v>65</v>
      </c>
      <c r="O572">
        <v>40</v>
      </c>
      <c r="P572" t="s">
        <v>46</v>
      </c>
    </row>
    <row r="573" spans="1:16" x14ac:dyDescent="0.25">
      <c r="A573">
        <v>580</v>
      </c>
      <c r="B573" s="2">
        <v>44026.458333333336</v>
      </c>
      <c r="C573" s="2">
        <v>44028.354861111111</v>
      </c>
      <c r="D573">
        <v>4</v>
      </c>
      <c r="E573" t="s">
        <v>6</v>
      </c>
      <c r="F573" t="s">
        <v>10</v>
      </c>
      <c r="G573" t="s">
        <v>24</v>
      </c>
      <c r="H573">
        <v>72</v>
      </c>
      <c r="I573">
        <v>3.91</v>
      </c>
      <c r="J573">
        <v>2.4500000000000002</v>
      </c>
      <c r="K573" t="s">
        <v>15</v>
      </c>
      <c r="L573">
        <v>62</v>
      </c>
      <c r="M573">
        <v>159</v>
      </c>
      <c r="N573">
        <v>55</v>
      </c>
      <c r="O573">
        <v>49</v>
      </c>
      <c r="P573" t="s">
        <v>46</v>
      </c>
    </row>
    <row r="574" spans="1:16" x14ac:dyDescent="0.25">
      <c r="A574">
        <v>581</v>
      </c>
      <c r="B574" s="2">
        <v>44025.324305555558</v>
      </c>
      <c r="C574" s="2">
        <v>44028.561111111114</v>
      </c>
      <c r="D574">
        <v>5</v>
      </c>
      <c r="E574" t="s">
        <v>4</v>
      </c>
      <c r="F574" t="s">
        <v>10</v>
      </c>
      <c r="G574" t="s">
        <v>32</v>
      </c>
      <c r="H574">
        <v>65</v>
      </c>
      <c r="I574">
        <v>13.48</v>
      </c>
      <c r="J574">
        <v>7.14</v>
      </c>
      <c r="K574" t="s">
        <v>15</v>
      </c>
      <c r="L574">
        <v>70</v>
      </c>
      <c r="M574">
        <v>158</v>
      </c>
      <c r="N574">
        <v>58</v>
      </c>
      <c r="O574">
        <v>22</v>
      </c>
      <c r="P574" t="s">
        <v>45</v>
      </c>
    </row>
    <row r="575" spans="1:16" x14ac:dyDescent="0.25">
      <c r="A575">
        <v>582</v>
      </c>
      <c r="B575" s="2">
        <v>44028.291666666664</v>
      </c>
      <c r="C575" s="2">
        <v>44028.594444444447</v>
      </c>
      <c r="D575">
        <v>4</v>
      </c>
      <c r="E575" t="s">
        <v>4</v>
      </c>
      <c r="F575" t="s">
        <v>11</v>
      </c>
      <c r="G575" t="s">
        <v>24</v>
      </c>
      <c r="H575">
        <v>75</v>
      </c>
      <c r="I575">
        <v>10.64</v>
      </c>
      <c r="J575">
        <v>4.1100000000000003</v>
      </c>
      <c r="K575" t="s">
        <v>15</v>
      </c>
      <c r="L575">
        <v>132</v>
      </c>
      <c r="M575">
        <v>168</v>
      </c>
      <c r="N575">
        <v>88</v>
      </c>
      <c r="O575">
        <v>49</v>
      </c>
      <c r="P575" t="s">
        <v>46</v>
      </c>
    </row>
    <row r="576" spans="1:16" x14ac:dyDescent="0.25">
      <c r="A576">
        <v>583</v>
      </c>
      <c r="B576" s="2">
        <v>44027.458333333336</v>
      </c>
      <c r="C576" s="2">
        <v>44029.340277777781</v>
      </c>
      <c r="D576">
        <v>5</v>
      </c>
      <c r="E576" t="s">
        <v>6</v>
      </c>
      <c r="F576" t="s">
        <v>10</v>
      </c>
      <c r="G576" t="s">
        <v>30</v>
      </c>
      <c r="H576">
        <v>78</v>
      </c>
      <c r="I576">
        <v>10.33</v>
      </c>
      <c r="J576">
        <v>2.5</v>
      </c>
      <c r="K576" t="s">
        <v>15</v>
      </c>
      <c r="L576">
        <v>68</v>
      </c>
      <c r="M576">
        <v>155</v>
      </c>
      <c r="N576">
        <v>63</v>
      </c>
      <c r="O576">
        <v>28</v>
      </c>
      <c r="P576" t="s">
        <v>45</v>
      </c>
    </row>
    <row r="577" spans="1:16" x14ac:dyDescent="0.25">
      <c r="A577">
        <v>584</v>
      </c>
      <c r="B577" s="2">
        <v>44028.583333333336</v>
      </c>
      <c r="C577" s="2">
        <v>44029.340277777781</v>
      </c>
      <c r="D577">
        <v>4</v>
      </c>
      <c r="E577" t="s">
        <v>4</v>
      </c>
      <c r="F577" t="s">
        <v>3</v>
      </c>
      <c r="G577" t="s">
        <v>35</v>
      </c>
      <c r="H577">
        <v>86</v>
      </c>
      <c r="I577">
        <v>8.4600000000000009</v>
      </c>
      <c r="J577">
        <v>1.1599999999999999</v>
      </c>
      <c r="K577" t="s">
        <v>15</v>
      </c>
      <c r="L577">
        <v>67</v>
      </c>
      <c r="M577">
        <v>171</v>
      </c>
      <c r="N577">
        <v>80</v>
      </c>
      <c r="O577">
        <v>51</v>
      </c>
      <c r="P577" t="s">
        <v>44</v>
      </c>
    </row>
    <row r="578" spans="1:16" x14ac:dyDescent="0.25">
      <c r="A578">
        <v>585</v>
      </c>
      <c r="B578" s="2">
        <v>44027.326388888891</v>
      </c>
      <c r="C578" s="2">
        <v>44029.558333333334</v>
      </c>
      <c r="D578">
        <v>5</v>
      </c>
      <c r="E578" t="s">
        <v>6</v>
      </c>
      <c r="F578" t="s">
        <v>10</v>
      </c>
      <c r="G578" t="s">
        <v>30</v>
      </c>
      <c r="H578">
        <v>68</v>
      </c>
      <c r="I578">
        <v>4.53</v>
      </c>
      <c r="J578">
        <v>2.2200000000000002</v>
      </c>
      <c r="K578" t="s">
        <v>15</v>
      </c>
      <c r="L578">
        <v>75</v>
      </c>
      <c r="M578">
        <v>171</v>
      </c>
      <c r="N578">
        <v>74</v>
      </c>
      <c r="O578">
        <v>40</v>
      </c>
      <c r="P578" t="s">
        <v>46</v>
      </c>
    </row>
    <row r="579" spans="1:16" x14ac:dyDescent="0.25">
      <c r="A579">
        <v>586</v>
      </c>
      <c r="B579" s="2">
        <v>44029.291666666664</v>
      </c>
      <c r="C579" s="2">
        <v>44029.5625</v>
      </c>
      <c r="D579">
        <v>4</v>
      </c>
      <c r="E579" t="s">
        <v>4</v>
      </c>
      <c r="F579" t="s">
        <v>3</v>
      </c>
      <c r="G579" t="s">
        <v>35</v>
      </c>
      <c r="H579">
        <v>82</v>
      </c>
      <c r="I579">
        <v>6.61</v>
      </c>
      <c r="J579">
        <v>1.6</v>
      </c>
      <c r="K579" t="s">
        <v>15</v>
      </c>
      <c r="L579">
        <v>91</v>
      </c>
      <c r="M579">
        <v>162</v>
      </c>
      <c r="N579">
        <v>81</v>
      </c>
      <c r="O579">
        <v>70</v>
      </c>
      <c r="P579" t="s">
        <v>44</v>
      </c>
    </row>
    <row r="580" spans="1:16" x14ac:dyDescent="0.25">
      <c r="A580">
        <v>587</v>
      </c>
      <c r="B580" s="2">
        <v>44029.666666666664</v>
      </c>
      <c r="C580" s="2">
        <v>44030.336805555555</v>
      </c>
      <c r="D580">
        <v>5</v>
      </c>
      <c r="E580" t="s">
        <v>4</v>
      </c>
      <c r="F580" t="s">
        <v>3</v>
      </c>
      <c r="G580" t="s">
        <v>21</v>
      </c>
      <c r="H580">
        <v>66</v>
      </c>
      <c r="I580">
        <v>6.13</v>
      </c>
      <c r="J580">
        <v>1.88</v>
      </c>
      <c r="K580" t="s">
        <v>15</v>
      </c>
      <c r="L580">
        <v>63</v>
      </c>
      <c r="M580">
        <v>183</v>
      </c>
      <c r="N580">
        <v>102</v>
      </c>
      <c r="O580">
        <v>45</v>
      </c>
      <c r="P580" t="s">
        <v>46</v>
      </c>
    </row>
    <row r="581" spans="1:16" x14ac:dyDescent="0.25">
      <c r="A581">
        <v>588</v>
      </c>
      <c r="B581" s="2">
        <v>44029.604166666664</v>
      </c>
      <c r="C581" s="2">
        <v>44030.340277777781</v>
      </c>
      <c r="D581">
        <v>4</v>
      </c>
      <c r="E581" t="s">
        <v>4</v>
      </c>
      <c r="F581" t="s">
        <v>1</v>
      </c>
      <c r="G581" t="s">
        <v>23</v>
      </c>
      <c r="H581">
        <v>48</v>
      </c>
      <c r="I581">
        <v>4.6500000000000004</v>
      </c>
      <c r="J581">
        <v>0.96</v>
      </c>
      <c r="K581" t="s">
        <v>15</v>
      </c>
      <c r="L581">
        <v>63</v>
      </c>
      <c r="M581">
        <v>169</v>
      </c>
      <c r="N581">
        <v>90</v>
      </c>
      <c r="O581">
        <v>40</v>
      </c>
      <c r="P581" t="s">
        <v>46</v>
      </c>
    </row>
    <row r="582" spans="1:16" x14ac:dyDescent="0.25">
      <c r="A582">
        <v>589</v>
      </c>
      <c r="B582" s="2">
        <v>44029.586805555555</v>
      </c>
      <c r="C582" s="2">
        <v>44030.506944444445</v>
      </c>
      <c r="D582">
        <v>4</v>
      </c>
      <c r="E582" t="s">
        <v>4</v>
      </c>
      <c r="F582" t="s">
        <v>1</v>
      </c>
      <c r="G582" t="s">
        <v>23</v>
      </c>
      <c r="H582">
        <v>59</v>
      </c>
      <c r="I582">
        <v>4.6500000000000004</v>
      </c>
      <c r="J582">
        <v>0.96</v>
      </c>
      <c r="K582" t="s">
        <v>15</v>
      </c>
      <c r="L582">
        <v>153</v>
      </c>
      <c r="M582">
        <v>172</v>
      </c>
      <c r="N582">
        <v>70</v>
      </c>
      <c r="O582">
        <v>50</v>
      </c>
      <c r="P582" t="s">
        <v>46</v>
      </c>
    </row>
    <row r="583" spans="1:16" x14ac:dyDescent="0.25">
      <c r="A583">
        <v>590</v>
      </c>
      <c r="B583" s="2">
        <v>44030.369444444441</v>
      </c>
      <c r="C583" s="2">
        <v>44030.538888888892</v>
      </c>
      <c r="D583">
        <v>5</v>
      </c>
      <c r="E583" t="s">
        <v>4</v>
      </c>
      <c r="F583" t="s">
        <v>10</v>
      </c>
      <c r="G583" t="s">
        <v>21</v>
      </c>
      <c r="H583">
        <v>73</v>
      </c>
      <c r="I583">
        <v>6.21</v>
      </c>
      <c r="J583">
        <v>2.52</v>
      </c>
      <c r="K583" t="s">
        <v>15</v>
      </c>
      <c r="L583">
        <v>83</v>
      </c>
      <c r="M583">
        <v>172</v>
      </c>
      <c r="N583">
        <v>94</v>
      </c>
      <c r="O583">
        <v>45</v>
      </c>
      <c r="P583" t="s">
        <v>46</v>
      </c>
    </row>
    <row r="584" spans="1:16" x14ac:dyDescent="0.25">
      <c r="A584">
        <v>591</v>
      </c>
      <c r="B584" s="2">
        <v>44029.754166666666</v>
      </c>
      <c r="C584" s="2">
        <v>44031.345138888886</v>
      </c>
      <c r="D584">
        <v>5</v>
      </c>
      <c r="E584" t="s">
        <v>2</v>
      </c>
      <c r="F584" t="s">
        <v>1</v>
      </c>
      <c r="G584" t="s">
        <v>23</v>
      </c>
      <c r="H584">
        <v>68</v>
      </c>
      <c r="I584">
        <v>48.75</v>
      </c>
      <c r="J584">
        <v>11.4</v>
      </c>
      <c r="K584" t="s">
        <v>13</v>
      </c>
      <c r="L584">
        <v>73</v>
      </c>
      <c r="M584">
        <v>163</v>
      </c>
      <c r="N584">
        <v>41</v>
      </c>
      <c r="O584">
        <v>26</v>
      </c>
      <c r="P584" t="s">
        <v>45</v>
      </c>
    </row>
    <row r="585" spans="1:16" x14ac:dyDescent="0.25">
      <c r="A585">
        <v>592</v>
      </c>
      <c r="B585" s="2">
        <v>44028.625</v>
      </c>
      <c r="C585" s="2">
        <v>44032.325694444444</v>
      </c>
      <c r="D585">
        <v>5</v>
      </c>
      <c r="E585" t="s">
        <v>6</v>
      </c>
      <c r="F585" t="s">
        <v>10</v>
      </c>
      <c r="G585" t="s">
        <v>32</v>
      </c>
      <c r="H585">
        <v>56</v>
      </c>
      <c r="I585">
        <v>2.2799999999999998</v>
      </c>
      <c r="J585">
        <v>2.36</v>
      </c>
      <c r="K585" t="s">
        <v>15</v>
      </c>
      <c r="L585">
        <v>65</v>
      </c>
      <c r="M585">
        <v>168</v>
      </c>
      <c r="N585">
        <v>80</v>
      </c>
      <c r="O585">
        <v>65</v>
      </c>
      <c r="P585" t="s">
        <v>44</v>
      </c>
    </row>
    <row r="586" spans="1:16" x14ac:dyDescent="0.25">
      <c r="A586">
        <v>593</v>
      </c>
      <c r="B586" s="2">
        <v>44019.611805555556</v>
      </c>
      <c r="C586" s="2">
        <v>44032.340277777781</v>
      </c>
      <c r="D586">
        <v>6</v>
      </c>
      <c r="E586" t="s">
        <v>6</v>
      </c>
      <c r="F586" t="s">
        <v>10</v>
      </c>
      <c r="G586" t="s">
        <v>33</v>
      </c>
      <c r="H586">
        <v>72</v>
      </c>
      <c r="I586">
        <v>5.26</v>
      </c>
      <c r="J586">
        <v>2.68</v>
      </c>
      <c r="K586" t="s">
        <v>15</v>
      </c>
      <c r="L586">
        <v>85</v>
      </c>
      <c r="M586">
        <v>177</v>
      </c>
      <c r="N586">
        <v>76</v>
      </c>
      <c r="O586">
        <v>70</v>
      </c>
      <c r="P586" t="s">
        <v>44</v>
      </c>
    </row>
    <row r="587" spans="1:16" x14ac:dyDescent="0.25">
      <c r="A587">
        <v>594</v>
      </c>
      <c r="B587" s="2">
        <v>44031.666666666664</v>
      </c>
      <c r="C587" s="2">
        <v>44032.343055555553</v>
      </c>
      <c r="D587">
        <v>3</v>
      </c>
      <c r="E587" t="s">
        <v>4</v>
      </c>
      <c r="F587" t="s">
        <v>10</v>
      </c>
      <c r="G587" t="s">
        <v>29</v>
      </c>
      <c r="H587">
        <v>75</v>
      </c>
      <c r="I587">
        <v>4.0599999999999996</v>
      </c>
      <c r="J587">
        <v>1.39</v>
      </c>
      <c r="K587" t="s">
        <v>15</v>
      </c>
      <c r="L587">
        <v>69</v>
      </c>
      <c r="M587">
        <v>165</v>
      </c>
      <c r="N587">
        <v>92</v>
      </c>
      <c r="O587">
        <v>56</v>
      </c>
      <c r="P587" t="s">
        <v>44</v>
      </c>
    </row>
    <row r="588" spans="1:16" x14ac:dyDescent="0.25">
      <c r="A588">
        <v>595</v>
      </c>
      <c r="B588" s="2">
        <v>44031.583333333336</v>
      </c>
      <c r="C588" s="2">
        <v>44032.347222222219</v>
      </c>
      <c r="D588">
        <v>4</v>
      </c>
      <c r="E588" t="s">
        <v>4</v>
      </c>
      <c r="F588" t="s">
        <v>1</v>
      </c>
      <c r="G588" t="s">
        <v>23</v>
      </c>
      <c r="H588">
        <v>76</v>
      </c>
      <c r="I588">
        <v>13.14</v>
      </c>
      <c r="J588">
        <v>2.0299999999999998</v>
      </c>
      <c r="K588" t="s">
        <v>15</v>
      </c>
      <c r="L588">
        <v>94</v>
      </c>
      <c r="M588">
        <v>173</v>
      </c>
      <c r="N588">
        <v>75</v>
      </c>
      <c r="O588">
        <v>44</v>
      </c>
      <c r="P588" t="s">
        <v>46</v>
      </c>
    </row>
    <row r="589" spans="1:16" x14ac:dyDescent="0.25">
      <c r="A589">
        <v>596</v>
      </c>
      <c r="B589" s="2">
        <v>44032.291666666664</v>
      </c>
      <c r="C589" s="2">
        <v>44032.519444444442</v>
      </c>
      <c r="D589">
        <v>5</v>
      </c>
      <c r="E589" t="s">
        <v>4</v>
      </c>
      <c r="F589" t="s">
        <v>11</v>
      </c>
      <c r="G589" t="s">
        <v>32</v>
      </c>
      <c r="H589">
        <v>77</v>
      </c>
      <c r="I589">
        <v>6.59</v>
      </c>
      <c r="J589">
        <v>3.3</v>
      </c>
      <c r="K589" t="s">
        <v>15</v>
      </c>
      <c r="L589">
        <v>74</v>
      </c>
      <c r="M589">
        <v>153</v>
      </c>
      <c r="N589">
        <v>62</v>
      </c>
      <c r="O589">
        <v>20</v>
      </c>
      <c r="P589" t="s">
        <v>47</v>
      </c>
    </row>
    <row r="590" spans="1:16" x14ac:dyDescent="0.25">
      <c r="A590">
        <v>597</v>
      </c>
      <c r="B590" s="2">
        <v>44032.300694444442</v>
      </c>
      <c r="C590" s="2">
        <v>44032.558333333334</v>
      </c>
      <c r="D590">
        <v>3</v>
      </c>
      <c r="E590" t="s">
        <v>4</v>
      </c>
      <c r="F590" t="s">
        <v>11</v>
      </c>
      <c r="G590" t="s">
        <v>29</v>
      </c>
      <c r="H590">
        <v>85</v>
      </c>
      <c r="I590">
        <v>18.809999999999999</v>
      </c>
      <c r="J590">
        <v>13.04</v>
      </c>
      <c r="K590" t="s">
        <v>15</v>
      </c>
      <c r="L590">
        <v>76</v>
      </c>
      <c r="M590">
        <v>175</v>
      </c>
      <c r="N590">
        <v>75</v>
      </c>
      <c r="O590">
        <v>55</v>
      </c>
      <c r="P590" t="s">
        <v>44</v>
      </c>
    </row>
    <row r="591" spans="1:16" x14ac:dyDescent="0.25">
      <c r="A591">
        <v>598</v>
      </c>
      <c r="B591" s="2">
        <v>44032.299305555556</v>
      </c>
      <c r="C591" s="2">
        <v>44032.579861111109</v>
      </c>
      <c r="D591">
        <v>6</v>
      </c>
      <c r="E591" t="s">
        <v>4</v>
      </c>
      <c r="F591" t="s">
        <v>11</v>
      </c>
      <c r="G591" t="s">
        <v>33</v>
      </c>
      <c r="H591">
        <v>56</v>
      </c>
      <c r="I591">
        <v>1.51</v>
      </c>
      <c r="J591">
        <v>0.86</v>
      </c>
      <c r="K591" t="s">
        <v>15</v>
      </c>
      <c r="L591">
        <v>85</v>
      </c>
      <c r="M591">
        <v>159</v>
      </c>
      <c r="N591">
        <v>107</v>
      </c>
      <c r="O591">
        <v>60</v>
      </c>
      <c r="P591" t="s">
        <v>44</v>
      </c>
    </row>
    <row r="592" spans="1:16" x14ac:dyDescent="0.25">
      <c r="A592">
        <v>599</v>
      </c>
      <c r="B592" s="2">
        <v>44032.661111111112</v>
      </c>
      <c r="C592" s="2">
        <v>44033.333333333336</v>
      </c>
      <c r="D592">
        <v>5</v>
      </c>
      <c r="E592" t="s">
        <v>4</v>
      </c>
      <c r="F592" t="s">
        <v>3</v>
      </c>
      <c r="G592" t="s">
        <v>35</v>
      </c>
      <c r="H592">
        <v>81</v>
      </c>
      <c r="I592">
        <v>8.44</v>
      </c>
      <c r="J592">
        <v>2.13</v>
      </c>
      <c r="K592" t="s">
        <v>15</v>
      </c>
      <c r="L592">
        <v>68</v>
      </c>
      <c r="M592">
        <v>163</v>
      </c>
      <c r="N592">
        <v>57</v>
      </c>
      <c r="O592">
        <v>63</v>
      </c>
      <c r="P592" t="s">
        <v>44</v>
      </c>
    </row>
    <row r="593" spans="1:16" x14ac:dyDescent="0.25">
      <c r="A593">
        <v>600</v>
      </c>
      <c r="B593" s="2">
        <v>44022.905555555553</v>
      </c>
      <c r="C593" s="2">
        <v>44033.336111111108</v>
      </c>
      <c r="D593">
        <v>3</v>
      </c>
      <c r="E593" t="s">
        <v>6</v>
      </c>
      <c r="F593" t="s">
        <v>10</v>
      </c>
      <c r="G593" t="s">
        <v>31</v>
      </c>
      <c r="H593">
        <v>75</v>
      </c>
      <c r="I593">
        <v>9.99</v>
      </c>
      <c r="J593">
        <v>5.1100000000000003</v>
      </c>
      <c r="K593" t="s">
        <v>15</v>
      </c>
      <c r="L593">
        <v>86</v>
      </c>
      <c r="M593">
        <v>160</v>
      </c>
      <c r="N593">
        <v>51</v>
      </c>
      <c r="O593">
        <v>60</v>
      </c>
      <c r="P593" t="s">
        <v>44</v>
      </c>
    </row>
    <row r="594" spans="1:16" x14ac:dyDescent="0.25">
      <c r="A594">
        <v>601</v>
      </c>
      <c r="B594" s="2">
        <v>44032.666666666664</v>
      </c>
      <c r="C594" s="2">
        <v>44033.34097222222</v>
      </c>
      <c r="D594">
        <v>4</v>
      </c>
      <c r="E594" t="s">
        <v>4</v>
      </c>
      <c r="F594" t="s">
        <v>11</v>
      </c>
      <c r="G594" t="s">
        <v>21</v>
      </c>
      <c r="H594">
        <v>81</v>
      </c>
      <c r="I594">
        <v>8.44</v>
      </c>
      <c r="J594">
        <v>4.47</v>
      </c>
      <c r="K594" t="s">
        <v>15</v>
      </c>
      <c r="L594">
        <v>83</v>
      </c>
      <c r="M594">
        <v>174</v>
      </c>
      <c r="N594">
        <v>85</v>
      </c>
      <c r="O594">
        <v>63</v>
      </c>
      <c r="P594" t="s">
        <v>44</v>
      </c>
    </row>
    <row r="595" spans="1:16" x14ac:dyDescent="0.25">
      <c r="A595">
        <v>602</v>
      </c>
      <c r="B595" s="2">
        <v>44032.654166666667</v>
      </c>
      <c r="C595" s="2">
        <v>44033.347222222219</v>
      </c>
      <c r="D595">
        <v>6</v>
      </c>
      <c r="E595" t="s">
        <v>4</v>
      </c>
      <c r="F595" t="s">
        <v>5</v>
      </c>
      <c r="G595" t="s">
        <v>30</v>
      </c>
      <c r="H595">
        <v>66</v>
      </c>
      <c r="I595">
        <v>3.57</v>
      </c>
      <c r="J595">
        <v>2.34</v>
      </c>
      <c r="K595" t="s">
        <v>15</v>
      </c>
      <c r="L595">
        <v>80</v>
      </c>
      <c r="M595">
        <v>170</v>
      </c>
      <c r="N595">
        <v>83</v>
      </c>
      <c r="O595">
        <v>60</v>
      </c>
      <c r="P595" t="s">
        <v>44</v>
      </c>
    </row>
    <row r="596" spans="1:16" x14ac:dyDescent="0.25">
      <c r="A596">
        <v>603</v>
      </c>
      <c r="B596" s="2">
        <v>44030.429166666669</v>
      </c>
      <c r="C596" s="2">
        <v>44033.548611111109</v>
      </c>
      <c r="D596">
        <v>6</v>
      </c>
      <c r="E596" t="s">
        <v>4</v>
      </c>
      <c r="F596" t="s">
        <v>10</v>
      </c>
      <c r="G596" t="s">
        <v>30</v>
      </c>
      <c r="H596">
        <v>75</v>
      </c>
      <c r="I596">
        <v>5.18</v>
      </c>
      <c r="J596">
        <v>2.35</v>
      </c>
      <c r="K596" t="s">
        <v>15</v>
      </c>
      <c r="L596">
        <v>75</v>
      </c>
      <c r="M596">
        <v>169</v>
      </c>
      <c r="N596">
        <v>80</v>
      </c>
      <c r="O596">
        <v>55</v>
      </c>
      <c r="P596" t="s">
        <v>44</v>
      </c>
    </row>
    <row r="597" spans="1:16" x14ac:dyDescent="0.25">
      <c r="A597">
        <v>604</v>
      </c>
      <c r="B597" s="2">
        <v>44033.297222222223</v>
      </c>
      <c r="C597" s="2">
        <v>44033.552083333336</v>
      </c>
      <c r="D597">
        <v>3</v>
      </c>
      <c r="E597" t="s">
        <v>4</v>
      </c>
      <c r="F597" t="s">
        <v>10</v>
      </c>
      <c r="G597" t="s">
        <v>31</v>
      </c>
      <c r="H597">
        <v>69</v>
      </c>
      <c r="I597">
        <v>1.7</v>
      </c>
      <c r="J597">
        <v>0.72</v>
      </c>
      <c r="K597" t="s">
        <v>15</v>
      </c>
      <c r="L597">
        <v>71</v>
      </c>
      <c r="M597">
        <v>177</v>
      </c>
      <c r="N597">
        <v>95</v>
      </c>
      <c r="O597">
        <v>20</v>
      </c>
      <c r="P597" t="s">
        <v>47</v>
      </c>
    </row>
    <row r="598" spans="1:16" x14ac:dyDescent="0.25">
      <c r="A598">
        <v>605</v>
      </c>
      <c r="B598" s="2">
        <v>44033.304861111108</v>
      </c>
      <c r="C598" s="2">
        <v>44033.586805555555</v>
      </c>
      <c r="D598">
        <v>4</v>
      </c>
      <c r="E598" t="s">
        <v>4</v>
      </c>
      <c r="F598" t="s">
        <v>11</v>
      </c>
      <c r="G598" t="s">
        <v>21</v>
      </c>
      <c r="H598">
        <v>62</v>
      </c>
      <c r="I598">
        <v>3.46</v>
      </c>
      <c r="J598">
        <v>4.0199999999999996</v>
      </c>
      <c r="K598" t="s">
        <v>15</v>
      </c>
      <c r="L598">
        <v>80</v>
      </c>
      <c r="M598">
        <v>154</v>
      </c>
      <c r="N598">
        <v>56</v>
      </c>
      <c r="O598">
        <v>51</v>
      </c>
      <c r="P598" t="s">
        <v>46</v>
      </c>
    </row>
    <row r="599" spans="1:16" x14ac:dyDescent="0.25">
      <c r="A599">
        <v>606</v>
      </c>
      <c r="B599" s="2">
        <v>44033.319444444445</v>
      </c>
      <c r="C599" s="2">
        <v>44033.600694444445</v>
      </c>
      <c r="D599">
        <v>5</v>
      </c>
      <c r="E599" t="s">
        <v>4</v>
      </c>
      <c r="F599" t="s">
        <v>3</v>
      </c>
      <c r="G599" t="s">
        <v>35</v>
      </c>
      <c r="H599">
        <v>65</v>
      </c>
      <c r="I599">
        <v>3.07</v>
      </c>
      <c r="J599">
        <v>1.24</v>
      </c>
      <c r="K599" t="s">
        <v>15</v>
      </c>
      <c r="L599">
        <v>81</v>
      </c>
      <c r="M599">
        <v>165</v>
      </c>
      <c r="N599">
        <v>91</v>
      </c>
      <c r="O599">
        <v>55</v>
      </c>
      <c r="P599" t="s">
        <v>44</v>
      </c>
    </row>
    <row r="600" spans="1:16" x14ac:dyDescent="0.25">
      <c r="A600">
        <v>607</v>
      </c>
      <c r="B600" s="2">
        <v>44021.44027777778</v>
      </c>
      <c r="C600" s="2">
        <v>44034.347222222219</v>
      </c>
      <c r="D600">
        <v>3</v>
      </c>
      <c r="E600" t="s">
        <v>6</v>
      </c>
      <c r="F600" t="s">
        <v>11</v>
      </c>
      <c r="G600" t="s">
        <v>35</v>
      </c>
      <c r="H600">
        <v>68</v>
      </c>
      <c r="I600">
        <v>1.59</v>
      </c>
      <c r="J600">
        <v>0.86</v>
      </c>
      <c r="K600" t="s">
        <v>15</v>
      </c>
      <c r="L600">
        <v>151</v>
      </c>
      <c r="M600">
        <v>163</v>
      </c>
      <c r="N600">
        <v>65</v>
      </c>
      <c r="O600">
        <v>55</v>
      </c>
      <c r="P600" t="s">
        <v>44</v>
      </c>
    </row>
    <row r="601" spans="1:16" x14ac:dyDescent="0.25">
      <c r="A601">
        <v>608</v>
      </c>
      <c r="B601" s="2">
        <v>44032.635416666664</v>
      </c>
      <c r="C601" s="2">
        <v>44034.354166666664</v>
      </c>
      <c r="D601">
        <v>5</v>
      </c>
      <c r="E601" t="s">
        <v>6</v>
      </c>
      <c r="F601" t="s">
        <v>3</v>
      </c>
      <c r="G601" t="s">
        <v>28</v>
      </c>
      <c r="H601">
        <v>58</v>
      </c>
      <c r="I601">
        <v>2.27</v>
      </c>
      <c r="J601">
        <v>4.58</v>
      </c>
      <c r="K601" t="s">
        <v>15</v>
      </c>
      <c r="L601">
        <v>91</v>
      </c>
      <c r="M601">
        <v>177</v>
      </c>
      <c r="N601">
        <v>71</v>
      </c>
      <c r="O601">
        <v>30</v>
      </c>
      <c r="P601" t="s">
        <v>45</v>
      </c>
    </row>
    <row r="602" spans="1:16" x14ac:dyDescent="0.25">
      <c r="A602">
        <v>609</v>
      </c>
      <c r="B602" s="2">
        <v>44031.42291666667</v>
      </c>
      <c r="C602" s="2">
        <v>44034.579861111109</v>
      </c>
      <c r="D602">
        <v>5</v>
      </c>
      <c r="E602" t="s">
        <v>4</v>
      </c>
      <c r="F602" t="s">
        <v>11</v>
      </c>
      <c r="G602" t="s">
        <v>28</v>
      </c>
      <c r="H602">
        <v>71</v>
      </c>
      <c r="I602">
        <v>13.42</v>
      </c>
      <c r="J602">
        <v>5.2</v>
      </c>
      <c r="K602" t="s">
        <v>15</v>
      </c>
      <c r="L602">
        <v>69</v>
      </c>
      <c r="M602">
        <v>184</v>
      </c>
      <c r="N602">
        <v>125</v>
      </c>
      <c r="O602">
        <v>55</v>
      </c>
      <c r="P602" t="s">
        <v>44</v>
      </c>
    </row>
    <row r="603" spans="1:16" x14ac:dyDescent="0.25">
      <c r="A603">
        <v>610</v>
      </c>
      <c r="B603" s="2">
        <v>44034.291666666664</v>
      </c>
      <c r="C603" s="2">
        <v>44034.619444444441</v>
      </c>
      <c r="D603">
        <v>3</v>
      </c>
      <c r="E603" t="s">
        <v>4</v>
      </c>
      <c r="F603" t="s">
        <v>3</v>
      </c>
      <c r="G603" t="s">
        <v>35</v>
      </c>
      <c r="H603">
        <v>64</v>
      </c>
      <c r="I603">
        <v>2.88</v>
      </c>
      <c r="J603">
        <v>0.7</v>
      </c>
      <c r="K603" t="s">
        <v>15</v>
      </c>
      <c r="L603">
        <v>83</v>
      </c>
      <c r="M603">
        <v>170</v>
      </c>
      <c r="N603">
        <v>67</v>
      </c>
      <c r="O603">
        <v>20</v>
      </c>
      <c r="P603" t="s">
        <v>47</v>
      </c>
    </row>
    <row r="604" spans="1:16" x14ac:dyDescent="0.25">
      <c r="A604">
        <v>611</v>
      </c>
      <c r="B604" s="2">
        <v>44034.661805555559</v>
      </c>
      <c r="C604" s="2">
        <v>44035.333333333336</v>
      </c>
      <c r="D604">
        <v>6</v>
      </c>
      <c r="E604" t="s">
        <v>4</v>
      </c>
      <c r="F604" t="s">
        <v>3</v>
      </c>
      <c r="G604" t="s">
        <v>35</v>
      </c>
      <c r="H604">
        <v>74</v>
      </c>
      <c r="I604">
        <v>3.99</v>
      </c>
      <c r="J604">
        <v>0.83</v>
      </c>
      <c r="K604" t="s">
        <v>15</v>
      </c>
      <c r="L604">
        <v>89</v>
      </c>
      <c r="M604">
        <v>169</v>
      </c>
      <c r="N604">
        <v>87</v>
      </c>
      <c r="O604">
        <v>55</v>
      </c>
      <c r="P604" t="s">
        <v>44</v>
      </c>
    </row>
    <row r="605" spans="1:16" x14ac:dyDescent="0.25">
      <c r="A605">
        <v>612</v>
      </c>
      <c r="B605" s="2">
        <v>44033.464583333334</v>
      </c>
      <c r="C605" s="2">
        <v>44035.34097222222</v>
      </c>
      <c r="D605">
        <v>3</v>
      </c>
      <c r="E605" t="s">
        <v>6</v>
      </c>
      <c r="F605" t="s">
        <v>10</v>
      </c>
      <c r="G605" t="s">
        <v>31</v>
      </c>
      <c r="H605">
        <v>72</v>
      </c>
      <c r="I605">
        <v>3.52</v>
      </c>
      <c r="J605">
        <v>1.25</v>
      </c>
      <c r="K605" t="s">
        <v>15</v>
      </c>
      <c r="L605">
        <v>87</v>
      </c>
      <c r="M605">
        <v>159</v>
      </c>
      <c r="N605">
        <v>57</v>
      </c>
      <c r="O605">
        <v>65</v>
      </c>
      <c r="P605" t="s">
        <v>44</v>
      </c>
    </row>
    <row r="606" spans="1:16" x14ac:dyDescent="0.25">
      <c r="A606">
        <v>613</v>
      </c>
      <c r="B606" s="2">
        <v>44033.597222222219</v>
      </c>
      <c r="C606" s="2">
        <v>44035.342361111114</v>
      </c>
      <c r="D606">
        <v>5</v>
      </c>
      <c r="E606" t="s">
        <v>6</v>
      </c>
      <c r="F606" t="s">
        <v>10</v>
      </c>
      <c r="G606" t="s">
        <v>23</v>
      </c>
      <c r="H606">
        <v>64</v>
      </c>
      <c r="I606">
        <v>1.85</v>
      </c>
      <c r="J606">
        <v>1.41</v>
      </c>
      <c r="K606" t="s">
        <v>15</v>
      </c>
      <c r="L606">
        <v>91</v>
      </c>
      <c r="M606">
        <v>152</v>
      </c>
      <c r="N606">
        <v>48</v>
      </c>
      <c r="O606">
        <v>51</v>
      </c>
      <c r="P606" t="s">
        <v>44</v>
      </c>
    </row>
    <row r="607" spans="1:16" x14ac:dyDescent="0.25">
      <c r="A607">
        <v>614</v>
      </c>
      <c r="B607" s="2">
        <v>44034.666666666664</v>
      </c>
      <c r="C607" s="2">
        <v>44035.34375</v>
      </c>
      <c r="D607">
        <v>4</v>
      </c>
      <c r="E607" t="s">
        <v>4</v>
      </c>
      <c r="F607" t="s">
        <v>1</v>
      </c>
      <c r="G607" t="s">
        <v>24</v>
      </c>
      <c r="H607">
        <v>77</v>
      </c>
      <c r="I607">
        <v>13.92</v>
      </c>
      <c r="J607">
        <v>3.55</v>
      </c>
      <c r="K607" t="s">
        <v>15</v>
      </c>
      <c r="L607">
        <v>65</v>
      </c>
      <c r="M607">
        <v>170</v>
      </c>
      <c r="N607">
        <v>91</v>
      </c>
      <c r="O607">
        <v>68</v>
      </c>
      <c r="P607" t="s">
        <v>44</v>
      </c>
    </row>
    <row r="608" spans="1:16" x14ac:dyDescent="0.25">
      <c r="A608">
        <v>615</v>
      </c>
      <c r="B608" s="2">
        <v>44035.291666666664</v>
      </c>
      <c r="C608" s="2">
        <v>44035.564583333333</v>
      </c>
      <c r="D608">
        <v>6</v>
      </c>
      <c r="E608" t="s">
        <v>4</v>
      </c>
      <c r="F608" t="s">
        <v>11</v>
      </c>
      <c r="G608" t="s">
        <v>21</v>
      </c>
      <c r="H608">
        <v>85</v>
      </c>
      <c r="I608">
        <v>7.96</v>
      </c>
      <c r="J608">
        <v>4.46</v>
      </c>
      <c r="K608" t="s">
        <v>15</v>
      </c>
      <c r="L608">
        <v>85</v>
      </c>
      <c r="M608">
        <v>160</v>
      </c>
      <c r="N608">
        <v>52</v>
      </c>
      <c r="O608">
        <v>63</v>
      </c>
      <c r="P608" t="s">
        <v>44</v>
      </c>
    </row>
    <row r="609" spans="1:16" x14ac:dyDescent="0.25">
      <c r="A609">
        <v>616</v>
      </c>
      <c r="B609" s="2">
        <v>44031.375</v>
      </c>
      <c r="C609" s="2">
        <v>44035.583333333336</v>
      </c>
      <c r="D609">
        <v>3</v>
      </c>
      <c r="E609" t="s">
        <v>6</v>
      </c>
      <c r="F609" t="s">
        <v>10</v>
      </c>
      <c r="G609" t="s">
        <v>31</v>
      </c>
      <c r="H609">
        <v>64</v>
      </c>
      <c r="I609">
        <v>3.15</v>
      </c>
      <c r="J609">
        <v>1.36</v>
      </c>
      <c r="K609" t="s">
        <v>15</v>
      </c>
      <c r="L609">
        <v>90</v>
      </c>
      <c r="M609">
        <v>166</v>
      </c>
      <c r="N609">
        <v>80</v>
      </c>
      <c r="O609">
        <v>25</v>
      </c>
      <c r="P609" t="s">
        <v>45</v>
      </c>
    </row>
    <row r="610" spans="1:16" x14ac:dyDescent="0.25">
      <c r="A610">
        <v>617</v>
      </c>
      <c r="B610" s="2">
        <v>44035.291666666664</v>
      </c>
      <c r="C610" s="2">
        <v>44035.605555555558</v>
      </c>
      <c r="D610">
        <v>5</v>
      </c>
      <c r="E610" t="s">
        <v>4</v>
      </c>
      <c r="F610" t="s">
        <v>10</v>
      </c>
      <c r="G610" t="s">
        <v>23</v>
      </c>
      <c r="H610">
        <v>74</v>
      </c>
      <c r="I610">
        <v>7.08</v>
      </c>
      <c r="J610">
        <v>2.16</v>
      </c>
      <c r="K610" t="s">
        <v>15</v>
      </c>
      <c r="L610">
        <v>62</v>
      </c>
      <c r="M610">
        <v>171</v>
      </c>
      <c r="N610">
        <v>79</v>
      </c>
      <c r="O610">
        <v>20</v>
      </c>
      <c r="P610" t="s">
        <v>47</v>
      </c>
    </row>
    <row r="611" spans="1:16" x14ac:dyDescent="0.25">
      <c r="A611">
        <v>618</v>
      </c>
      <c r="B611" s="2">
        <v>44035.294444444444</v>
      </c>
      <c r="C611" s="2">
        <v>44035.654861111114</v>
      </c>
      <c r="D611">
        <v>4</v>
      </c>
      <c r="E611" t="s">
        <v>4</v>
      </c>
      <c r="F611" t="s">
        <v>3</v>
      </c>
      <c r="G611" t="s">
        <v>24</v>
      </c>
      <c r="H611">
        <v>73</v>
      </c>
      <c r="I611">
        <v>5.13</v>
      </c>
      <c r="J611">
        <v>1.21</v>
      </c>
      <c r="K611" t="s">
        <v>15</v>
      </c>
      <c r="L611">
        <v>70</v>
      </c>
      <c r="M611">
        <v>175</v>
      </c>
      <c r="N611">
        <v>96</v>
      </c>
      <c r="O611">
        <v>55</v>
      </c>
      <c r="P611" t="s">
        <v>44</v>
      </c>
    </row>
    <row r="612" spans="1:16" x14ac:dyDescent="0.25">
      <c r="A612">
        <v>619</v>
      </c>
      <c r="B612" s="2">
        <v>44034.458333333336</v>
      </c>
      <c r="C612" s="2">
        <v>44036.344444444447</v>
      </c>
      <c r="D612">
        <v>5</v>
      </c>
      <c r="E612" t="s">
        <v>6</v>
      </c>
      <c r="F612" t="s">
        <v>11</v>
      </c>
      <c r="G612" t="s">
        <v>31</v>
      </c>
      <c r="H612">
        <v>61</v>
      </c>
      <c r="I612">
        <v>4.38</v>
      </c>
      <c r="J612">
        <v>3.45</v>
      </c>
      <c r="K612" t="s">
        <v>15</v>
      </c>
      <c r="L612">
        <v>70</v>
      </c>
      <c r="M612">
        <v>162</v>
      </c>
      <c r="N612">
        <v>77</v>
      </c>
      <c r="O612">
        <v>60</v>
      </c>
      <c r="P612" t="s">
        <v>44</v>
      </c>
    </row>
    <row r="613" spans="1:16" x14ac:dyDescent="0.25">
      <c r="A613">
        <v>620</v>
      </c>
      <c r="B613" s="2">
        <v>44035.63958333333</v>
      </c>
      <c r="C613" s="2">
        <v>44036.354861111111</v>
      </c>
      <c r="D613">
        <v>3</v>
      </c>
      <c r="E613" t="s">
        <v>4</v>
      </c>
      <c r="F613" t="s">
        <v>3</v>
      </c>
      <c r="G613" t="s">
        <v>24</v>
      </c>
      <c r="H613">
        <v>64</v>
      </c>
      <c r="I613">
        <v>2.09</v>
      </c>
      <c r="J613">
        <v>0.96</v>
      </c>
      <c r="K613" t="s">
        <v>15</v>
      </c>
      <c r="L613">
        <v>78</v>
      </c>
      <c r="M613">
        <v>166</v>
      </c>
      <c r="N613">
        <v>116</v>
      </c>
      <c r="O613">
        <v>42</v>
      </c>
      <c r="P613" t="s">
        <v>46</v>
      </c>
    </row>
    <row r="614" spans="1:16" x14ac:dyDescent="0.25">
      <c r="A614">
        <v>621</v>
      </c>
      <c r="B614" s="2">
        <v>44036.291666666664</v>
      </c>
      <c r="C614" s="2">
        <v>44036.581250000003</v>
      </c>
      <c r="D614">
        <v>5</v>
      </c>
      <c r="E614" t="s">
        <v>4</v>
      </c>
      <c r="F614" t="s">
        <v>10</v>
      </c>
      <c r="G614" t="s">
        <v>31</v>
      </c>
      <c r="H614">
        <v>72</v>
      </c>
      <c r="I614">
        <v>2.0699999999999998</v>
      </c>
      <c r="J614">
        <v>0.78</v>
      </c>
      <c r="K614" t="s">
        <v>15</v>
      </c>
      <c r="L614">
        <v>72</v>
      </c>
      <c r="M614">
        <v>170</v>
      </c>
      <c r="N614">
        <v>131</v>
      </c>
      <c r="O614">
        <v>65</v>
      </c>
      <c r="P614" t="s">
        <v>44</v>
      </c>
    </row>
    <row r="615" spans="1:16" x14ac:dyDescent="0.25">
      <c r="A615">
        <v>622</v>
      </c>
      <c r="B615" s="2">
        <v>44036.666666666664</v>
      </c>
      <c r="C615" s="2">
        <v>44037.326388888891</v>
      </c>
      <c r="D615">
        <v>5</v>
      </c>
      <c r="E615" t="s">
        <v>4</v>
      </c>
      <c r="F615" t="s">
        <v>10</v>
      </c>
      <c r="G615" t="s">
        <v>31</v>
      </c>
      <c r="H615">
        <v>73</v>
      </c>
      <c r="I615">
        <v>3.05</v>
      </c>
      <c r="J615">
        <v>1.35</v>
      </c>
      <c r="K615" t="s">
        <v>15</v>
      </c>
      <c r="L615">
        <v>75</v>
      </c>
      <c r="M615">
        <v>173</v>
      </c>
      <c r="N615">
        <v>74</v>
      </c>
      <c r="O615">
        <v>60</v>
      </c>
      <c r="P615" t="s">
        <v>44</v>
      </c>
    </row>
    <row r="616" spans="1:16" x14ac:dyDescent="0.25">
      <c r="A616">
        <v>623</v>
      </c>
      <c r="B616" s="2">
        <v>44036.583333333336</v>
      </c>
      <c r="C616" s="2">
        <v>44037.333333333336</v>
      </c>
      <c r="D616">
        <v>4</v>
      </c>
      <c r="E616" t="s">
        <v>4</v>
      </c>
      <c r="F616" t="s">
        <v>3</v>
      </c>
      <c r="G616" t="s">
        <v>33</v>
      </c>
      <c r="H616">
        <v>85</v>
      </c>
      <c r="I616">
        <v>12.4</v>
      </c>
      <c r="J616">
        <v>3.79</v>
      </c>
      <c r="K616" t="s">
        <v>15</v>
      </c>
      <c r="L616">
        <v>135</v>
      </c>
      <c r="M616">
        <v>170</v>
      </c>
      <c r="N616">
        <v>73</v>
      </c>
      <c r="O616">
        <v>52</v>
      </c>
      <c r="P616" t="s">
        <v>44</v>
      </c>
    </row>
    <row r="617" spans="1:16" x14ac:dyDescent="0.25">
      <c r="A617">
        <v>624</v>
      </c>
      <c r="B617" s="2">
        <v>44037.291666666664</v>
      </c>
      <c r="C617" s="2">
        <v>44037.475694444445</v>
      </c>
      <c r="D617">
        <v>4</v>
      </c>
      <c r="E617" t="s">
        <v>4</v>
      </c>
      <c r="F617" t="s">
        <v>3</v>
      </c>
      <c r="G617" t="s">
        <v>33</v>
      </c>
      <c r="H617">
        <v>78</v>
      </c>
      <c r="I617">
        <v>13.94</v>
      </c>
      <c r="J617">
        <v>3.33</v>
      </c>
      <c r="K617" t="s">
        <v>15</v>
      </c>
      <c r="L617">
        <v>78</v>
      </c>
      <c r="M617">
        <v>168</v>
      </c>
      <c r="N617">
        <v>78</v>
      </c>
      <c r="O617">
        <v>41</v>
      </c>
      <c r="P617" t="s">
        <v>46</v>
      </c>
    </row>
    <row r="618" spans="1:16" x14ac:dyDescent="0.25">
      <c r="A618">
        <v>625</v>
      </c>
      <c r="B618" s="2">
        <v>44037.274305555555</v>
      </c>
      <c r="C618" s="2">
        <v>44037.513888888891</v>
      </c>
      <c r="D618">
        <v>5</v>
      </c>
      <c r="E618" t="s">
        <v>4</v>
      </c>
      <c r="F618" t="s">
        <v>10</v>
      </c>
      <c r="G618" t="s">
        <v>31</v>
      </c>
      <c r="H618">
        <v>69</v>
      </c>
      <c r="I618">
        <v>2.76</v>
      </c>
      <c r="J618">
        <v>0.87</v>
      </c>
      <c r="K618" t="s">
        <v>15</v>
      </c>
      <c r="L618">
        <v>87</v>
      </c>
      <c r="M618">
        <v>170</v>
      </c>
      <c r="N618">
        <v>80</v>
      </c>
      <c r="O618">
        <v>55</v>
      </c>
      <c r="P618" t="s">
        <v>44</v>
      </c>
    </row>
    <row r="619" spans="1:16" x14ac:dyDescent="0.25">
      <c r="A619">
        <v>626</v>
      </c>
      <c r="B619" s="2">
        <v>44037.697916666664</v>
      </c>
      <c r="C619" s="2">
        <v>44038.673611111109</v>
      </c>
      <c r="D619">
        <v>4</v>
      </c>
      <c r="E619" t="s">
        <v>2</v>
      </c>
      <c r="F619" t="s">
        <v>10</v>
      </c>
      <c r="G619" t="s">
        <v>28</v>
      </c>
      <c r="H619">
        <v>55</v>
      </c>
      <c r="I619">
        <v>1.78</v>
      </c>
      <c r="J619">
        <v>1.01</v>
      </c>
      <c r="K619" t="s">
        <v>15</v>
      </c>
      <c r="L619">
        <v>122</v>
      </c>
      <c r="M619">
        <v>147</v>
      </c>
      <c r="N619">
        <v>75</v>
      </c>
      <c r="O619">
        <v>25</v>
      </c>
      <c r="P619" t="s">
        <v>45</v>
      </c>
    </row>
    <row r="620" spans="1:16" x14ac:dyDescent="0.25">
      <c r="A620">
        <v>627</v>
      </c>
      <c r="B620" s="2">
        <v>44038.666666666664</v>
      </c>
      <c r="C620" s="2">
        <v>44039.329861111109</v>
      </c>
      <c r="D620">
        <v>3</v>
      </c>
      <c r="E620" t="s">
        <v>4</v>
      </c>
      <c r="F620" t="s">
        <v>5</v>
      </c>
      <c r="G620" t="s">
        <v>29</v>
      </c>
      <c r="H620">
        <v>72</v>
      </c>
      <c r="I620">
        <v>3.51</v>
      </c>
      <c r="J620">
        <v>4.67</v>
      </c>
      <c r="K620" t="s">
        <v>15</v>
      </c>
      <c r="L620">
        <v>91</v>
      </c>
      <c r="M620">
        <v>157</v>
      </c>
      <c r="N620">
        <v>82</v>
      </c>
      <c r="O620">
        <v>42</v>
      </c>
      <c r="P620" t="s">
        <v>46</v>
      </c>
    </row>
    <row r="621" spans="1:16" x14ac:dyDescent="0.25">
      <c r="A621">
        <v>628</v>
      </c>
      <c r="B621" s="2">
        <v>44038.666666666664</v>
      </c>
      <c r="C621" s="2">
        <v>44039.337500000001</v>
      </c>
      <c r="D621">
        <v>4</v>
      </c>
      <c r="E621" t="s">
        <v>4</v>
      </c>
      <c r="F621" t="s">
        <v>1</v>
      </c>
      <c r="G621" t="s">
        <v>23</v>
      </c>
      <c r="H621">
        <v>80</v>
      </c>
      <c r="I621">
        <v>16.5</v>
      </c>
      <c r="J621">
        <v>4.3099999999999996</v>
      </c>
      <c r="K621" t="s">
        <v>15</v>
      </c>
      <c r="L621">
        <v>165</v>
      </c>
      <c r="M621">
        <v>180</v>
      </c>
      <c r="N621">
        <v>110</v>
      </c>
      <c r="O621">
        <v>65</v>
      </c>
      <c r="P621" t="s">
        <v>44</v>
      </c>
    </row>
    <row r="622" spans="1:16" x14ac:dyDescent="0.25">
      <c r="A622">
        <v>629</v>
      </c>
      <c r="B622" s="2">
        <v>44037.431250000001</v>
      </c>
      <c r="C622" s="2">
        <v>44039.371527777781</v>
      </c>
      <c r="D622">
        <v>2</v>
      </c>
      <c r="E622" t="s">
        <v>4</v>
      </c>
      <c r="F622" t="s">
        <v>11</v>
      </c>
      <c r="G622" t="s">
        <v>32</v>
      </c>
      <c r="H622">
        <v>47</v>
      </c>
      <c r="I622">
        <v>9.01</v>
      </c>
      <c r="J622">
        <v>5.38</v>
      </c>
      <c r="K622" t="s">
        <v>15</v>
      </c>
      <c r="L622">
        <v>67</v>
      </c>
      <c r="M622">
        <v>179</v>
      </c>
      <c r="N622">
        <v>61</v>
      </c>
      <c r="O622">
        <v>55</v>
      </c>
      <c r="P622" t="s">
        <v>44</v>
      </c>
    </row>
    <row r="623" spans="1:16" x14ac:dyDescent="0.25">
      <c r="A623">
        <v>630</v>
      </c>
      <c r="B623" s="2">
        <v>44038.666666666664</v>
      </c>
      <c r="C623" s="2">
        <v>44039.570138888892</v>
      </c>
      <c r="D623">
        <v>4</v>
      </c>
      <c r="E623" t="s">
        <v>4</v>
      </c>
      <c r="F623" t="s">
        <v>11</v>
      </c>
      <c r="G623" t="s">
        <v>24</v>
      </c>
      <c r="H623">
        <v>70</v>
      </c>
      <c r="I623">
        <v>4.24</v>
      </c>
      <c r="J623">
        <v>2.41</v>
      </c>
      <c r="K623" t="s">
        <v>15</v>
      </c>
      <c r="L623">
        <v>107</v>
      </c>
      <c r="M623">
        <v>183</v>
      </c>
      <c r="N623">
        <v>84</v>
      </c>
      <c r="O623">
        <v>35</v>
      </c>
      <c r="P623" t="s">
        <v>46</v>
      </c>
    </row>
    <row r="624" spans="1:16" x14ac:dyDescent="0.25">
      <c r="A624">
        <v>631</v>
      </c>
      <c r="B624" s="2">
        <v>44039.581944444442</v>
      </c>
      <c r="C624" s="2">
        <v>44039.605555555558</v>
      </c>
      <c r="D624">
        <v>2</v>
      </c>
      <c r="E624" t="s">
        <v>2</v>
      </c>
      <c r="F624" t="s">
        <v>1</v>
      </c>
      <c r="G624" t="s">
        <v>23</v>
      </c>
      <c r="H624">
        <v>40</v>
      </c>
      <c r="I624">
        <v>12.15</v>
      </c>
      <c r="J624">
        <v>4.04</v>
      </c>
      <c r="K624" t="s">
        <v>15</v>
      </c>
      <c r="L624">
        <v>81</v>
      </c>
      <c r="M624">
        <v>184</v>
      </c>
      <c r="N624">
        <v>114</v>
      </c>
      <c r="O624">
        <v>27</v>
      </c>
      <c r="P624" t="s">
        <v>45</v>
      </c>
    </row>
    <row r="625" spans="1:16" x14ac:dyDescent="0.25">
      <c r="A625">
        <v>632</v>
      </c>
      <c r="B625" s="2">
        <v>44034.910416666666</v>
      </c>
      <c r="C625" s="2">
        <v>44039.624305555553</v>
      </c>
      <c r="D625">
        <v>3</v>
      </c>
      <c r="E625" t="s">
        <v>6</v>
      </c>
      <c r="F625" t="s">
        <v>10</v>
      </c>
      <c r="G625" t="s">
        <v>29</v>
      </c>
      <c r="H625">
        <v>73</v>
      </c>
      <c r="I625">
        <v>5.6</v>
      </c>
      <c r="J625">
        <v>2.11</v>
      </c>
      <c r="K625" t="s">
        <v>15</v>
      </c>
      <c r="L625">
        <v>121</v>
      </c>
      <c r="M625">
        <v>157</v>
      </c>
      <c r="N625">
        <v>67</v>
      </c>
      <c r="O625">
        <v>43</v>
      </c>
      <c r="P625" t="s">
        <v>46</v>
      </c>
    </row>
    <row r="626" spans="1:16" x14ac:dyDescent="0.25">
      <c r="A626">
        <v>633</v>
      </c>
      <c r="B626" s="2">
        <v>44039.666666666664</v>
      </c>
      <c r="C626" s="2">
        <v>44040.336805555555</v>
      </c>
      <c r="D626">
        <v>3</v>
      </c>
      <c r="E626" t="s">
        <v>4</v>
      </c>
      <c r="F626" t="s">
        <v>1</v>
      </c>
      <c r="G626" t="s">
        <v>26</v>
      </c>
      <c r="H626">
        <v>55</v>
      </c>
      <c r="I626">
        <v>6.35</v>
      </c>
      <c r="J626">
        <v>2.72</v>
      </c>
      <c r="K626" t="s">
        <v>15</v>
      </c>
      <c r="L626">
        <v>78</v>
      </c>
      <c r="M626">
        <v>159</v>
      </c>
      <c r="N626">
        <v>58</v>
      </c>
      <c r="O626">
        <v>50</v>
      </c>
      <c r="P626" t="s">
        <v>46</v>
      </c>
    </row>
    <row r="627" spans="1:16" x14ac:dyDescent="0.25">
      <c r="A627">
        <v>634</v>
      </c>
      <c r="B627" s="2">
        <v>44039.666666666664</v>
      </c>
      <c r="C627" s="2">
        <v>44040.338194444441</v>
      </c>
      <c r="D627">
        <v>5</v>
      </c>
      <c r="E627" t="s">
        <v>4</v>
      </c>
      <c r="F627" t="s">
        <v>11</v>
      </c>
      <c r="G627" t="s">
        <v>29</v>
      </c>
      <c r="H627">
        <v>68</v>
      </c>
      <c r="I627">
        <v>5.09</v>
      </c>
      <c r="J627">
        <v>3.68</v>
      </c>
      <c r="K627" t="s">
        <v>15</v>
      </c>
      <c r="L627">
        <v>79</v>
      </c>
      <c r="M627">
        <v>170</v>
      </c>
      <c r="N627">
        <v>61</v>
      </c>
      <c r="O627">
        <v>62</v>
      </c>
      <c r="P627" t="s">
        <v>44</v>
      </c>
    </row>
    <row r="628" spans="1:16" x14ac:dyDescent="0.25">
      <c r="A628">
        <v>635</v>
      </c>
      <c r="B628" s="2">
        <v>44028.493750000001</v>
      </c>
      <c r="C628" s="2">
        <v>44040.343055555553</v>
      </c>
      <c r="D628">
        <v>4</v>
      </c>
      <c r="E628" t="s">
        <v>6</v>
      </c>
      <c r="F628" t="s">
        <v>3</v>
      </c>
      <c r="G628" t="s">
        <v>28</v>
      </c>
      <c r="H628">
        <v>44</v>
      </c>
      <c r="I628">
        <v>5.44</v>
      </c>
      <c r="J628">
        <v>7.6</v>
      </c>
      <c r="K628" t="s">
        <v>15</v>
      </c>
      <c r="L628">
        <v>68</v>
      </c>
      <c r="M628">
        <v>175</v>
      </c>
      <c r="N628">
        <v>74</v>
      </c>
      <c r="O628">
        <v>35</v>
      </c>
      <c r="P628" t="s">
        <v>46</v>
      </c>
    </row>
    <row r="629" spans="1:16" x14ac:dyDescent="0.25">
      <c r="A629">
        <v>636</v>
      </c>
      <c r="B629" s="2">
        <v>44038.666666666664</v>
      </c>
      <c r="C629" s="2">
        <v>44040.344444444447</v>
      </c>
      <c r="D629">
        <v>6</v>
      </c>
      <c r="E629" t="s">
        <v>4</v>
      </c>
      <c r="F629" t="s">
        <v>11</v>
      </c>
      <c r="G629" t="s">
        <v>23</v>
      </c>
      <c r="H629">
        <v>72</v>
      </c>
      <c r="I629">
        <v>4.8099999999999996</v>
      </c>
      <c r="J629">
        <v>2.0299999999999998</v>
      </c>
      <c r="K629" t="s">
        <v>15</v>
      </c>
      <c r="L629">
        <v>61</v>
      </c>
      <c r="M629">
        <v>190</v>
      </c>
      <c r="N629">
        <v>120</v>
      </c>
      <c r="O629">
        <v>55</v>
      </c>
      <c r="P629" t="s">
        <v>44</v>
      </c>
    </row>
    <row r="630" spans="1:16" x14ac:dyDescent="0.25">
      <c r="A630">
        <v>637</v>
      </c>
      <c r="B630" s="2">
        <v>44040.473611111112</v>
      </c>
      <c r="C630" s="2">
        <v>44040.477777777778</v>
      </c>
      <c r="D630">
        <v>1</v>
      </c>
      <c r="E630" t="s">
        <v>2</v>
      </c>
      <c r="F630" t="s">
        <v>1</v>
      </c>
      <c r="G630" t="s">
        <v>31</v>
      </c>
      <c r="H630">
        <v>76</v>
      </c>
      <c r="I630">
        <v>30.05</v>
      </c>
      <c r="J630">
        <v>4.1100000000000003</v>
      </c>
      <c r="K630" t="s">
        <v>15</v>
      </c>
      <c r="L630">
        <v>85</v>
      </c>
      <c r="M630">
        <v>156</v>
      </c>
      <c r="N630">
        <v>57</v>
      </c>
      <c r="O630">
        <v>55</v>
      </c>
      <c r="P630" t="s">
        <v>44</v>
      </c>
    </row>
    <row r="631" spans="1:16" x14ac:dyDescent="0.25">
      <c r="A631">
        <v>638</v>
      </c>
      <c r="B631" s="2">
        <v>44039.367361111108</v>
      </c>
      <c r="C631" s="2">
        <v>44040.542361111111</v>
      </c>
      <c r="D631">
        <v>4</v>
      </c>
      <c r="E631" t="s">
        <v>4</v>
      </c>
      <c r="F631" t="s">
        <v>3</v>
      </c>
      <c r="G631" t="s">
        <v>28</v>
      </c>
      <c r="H631">
        <v>82</v>
      </c>
      <c r="I631">
        <v>8.9700000000000006</v>
      </c>
      <c r="J631">
        <v>4.0199999999999996</v>
      </c>
      <c r="K631" t="s">
        <v>15</v>
      </c>
      <c r="L631">
        <v>185</v>
      </c>
      <c r="M631">
        <v>182</v>
      </c>
      <c r="N631">
        <v>95</v>
      </c>
      <c r="O631">
        <v>17</v>
      </c>
      <c r="P631" t="s">
        <v>47</v>
      </c>
    </row>
    <row r="632" spans="1:16" x14ac:dyDescent="0.25">
      <c r="A632">
        <v>639</v>
      </c>
      <c r="B632" s="2">
        <v>44040.291666666664</v>
      </c>
      <c r="C632" s="2">
        <v>44040.555555555555</v>
      </c>
      <c r="D632">
        <v>3</v>
      </c>
      <c r="E632" t="s">
        <v>4</v>
      </c>
      <c r="F632" t="s">
        <v>10</v>
      </c>
      <c r="G632" t="s">
        <v>26</v>
      </c>
      <c r="H632">
        <v>69</v>
      </c>
      <c r="I632">
        <v>3.23</v>
      </c>
      <c r="J632">
        <v>2.09</v>
      </c>
      <c r="K632" t="s">
        <v>15</v>
      </c>
      <c r="L632">
        <v>71</v>
      </c>
      <c r="M632">
        <v>174</v>
      </c>
      <c r="N632">
        <v>85</v>
      </c>
      <c r="O632">
        <v>51</v>
      </c>
      <c r="P632" t="s">
        <v>44</v>
      </c>
    </row>
    <row r="633" spans="1:16" x14ac:dyDescent="0.25">
      <c r="A633">
        <v>640</v>
      </c>
      <c r="B633" s="2">
        <v>44039.486111111109</v>
      </c>
      <c r="C633" s="2">
        <v>44040.588888888888</v>
      </c>
      <c r="D633">
        <v>6</v>
      </c>
      <c r="E633" t="s">
        <v>4</v>
      </c>
      <c r="F633" t="s">
        <v>1</v>
      </c>
      <c r="G633" t="s">
        <v>23</v>
      </c>
      <c r="H633">
        <v>61</v>
      </c>
      <c r="I633">
        <v>7.19</v>
      </c>
      <c r="J633">
        <v>1.23</v>
      </c>
      <c r="K633" t="s">
        <v>15</v>
      </c>
      <c r="L633">
        <v>91</v>
      </c>
      <c r="M633">
        <v>155</v>
      </c>
      <c r="N633">
        <v>56</v>
      </c>
      <c r="O633">
        <v>53</v>
      </c>
      <c r="P633" t="s">
        <v>44</v>
      </c>
    </row>
    <row r="634" spans="1:16" x14ac:dyDescent="0.25">
      <c r="A634">
        <v>641</v>
      </c>
      <c r="B634" s="2">
        <v>44040.291666666664</v>
      </c>
      <c r="C634" s="2">
        <v>44040.604166666664</v>
      </c>
      <c r="D634">
        <v>5</v>
      </c>
      <c r="E634" t="s">
        <v>4</v>
      </c>
      <c r="F634" t="s">
        <v>10</v>
      </c>
      <c r="G634" t="s">
        <v>29</v>
      </c>
      <c r="H634">
        <v>53</v>
      </c>
      <c r="I634">
        <v>2.54</v>
      </c>
      <c r="J634">
        <v>2.21</v>
      </c>
      <c r="K634" t="s">
        <v>15</v>
      </c>
      <c r="L634">
        <v>61</v>
      </c>
      <c r="M634">
        <v>156</v>
      </c>
      <c r="N634">
        <v>66</v>
      </c>
      <c r="O634">
        <v>65</v>
      </c>
      <c r="P634" t="s">
        <v>44</v>
      </c>
    </row>
    <row r="635" spans="1:16" x14ac:dyDescent="0.25">
      <c r="A635">
        <v>642</v>
      </c>
      <c r="B635" s="2">
        <v>44040.676388888889</v>
      </c>
      <c r="C635" s="2">
        <v>44041.341666666667</v>
      </c>
      <c r="D635">
        <v>6</v>
      </c>
      <c r="E635" t="s">
        <v>4</v>
      </c>
      <c r="F635" t="s">
        <v>3</v>
      </c>
      <c r="G635" t="s">
        <v>30</v>
      </c>
      <c r="H635">
        <v>50</v>
      </c>
      <c r="I635">
        <v>1.51</v>
      </c>
      <c r="J635">
        <v>0.5</v>
      </c>
      <c r="K635" t="s">
        <v>15</v>
      </c>
      <c r="L635">
        <v>95</v>
      </c>
      <c r="M635">
        <v>173</v>
      </c>
      <c r="N635">
        <v>84</v>
      </c>
      <c r="O635">
        <v>73</v>
      </c>
      <c r="P635" t="s">
        <v>44</v>
      </c>
    </row>
    <row r="636" spans="1:16" x14ac:dyDescent="0.25">
      <c r="A636">
        <v>643</v>
      </c>
      <c r="B636" s="2">
        <v>44025.521527777775</v>
      </c>
      <c r="C636" s="2">
        <v>44041.341666666667</v>
      </c>
      <c r="D636">
        <v>3</v>
      </c>
      <c r="E636" t="s">
        <v>6</v>
      </c>
      <c r="F636" t="s">
        <v>10</v>
      </c>
      <c r="G636" t="s">
        <v>27</v>
      </c>
      <c r="H636">
        <v>58</v>
      </c>
      <c r="I636">
        <v>3.15</v>
      </c>
      <c r="J636">
        <v>1.93</v>
      </c>
      <c r="K636" t="s">
        <v>15</v>
      </c>
      <c r="L636">
        <v>75</v>
      </c>
      <c r="M636">
        <v>165</v>
      </c>
      <c r="N636">
        <v>57</v>
      </c>
      <c r="O636">
        <v>66</v>
      </c>
      <c r="P636" t="s">
        <v>44</v>
      </c>
    </row>
    <row r="637" spans="1:16" x14ac:dyDescent="0.25">
      <c r="A637">
        <v>644</v>
      </c>
      <c r="B637" s="2">
        <v>44041.306944444441</v>
      </c>
      <c r="C637" s="2">
        <v>44041.538194444445</v>
      </c>
      <c r="D637">
        <v>6</v>
      </c>
      <c r="E637" t="s">
        <v>4</v>
      </c>
      <c r="F637" t="s">
        <v>10</v>
      </c>
      <c r="G637" t="s">
        <v>30</v>
      </c>
      <c r="H637">
        <v>54</v>
      </c>
      <c r="I637">
        <v>0.88</v>
      </c>
      <c r="J637">
        <v>0.5</v>
      </c>
      <c r="K637" t="s">
        <v>15</v>
      </c>
      <c r="L637">
        <v>91</v>
      </c>
      <c r="M637">
        <v>170</v>
      </c>
      <c r="N637">
        <v>85</v>
      </c>
      <c r="O637">
        <v>20</v>
      </c>
      <c r="P637" t="s">
        <v>47</v>
      </c>
    </row>
    <row r="638" spans="1:16" x14ac:dyDescent="0.25">
      <c r="A638">
        <v>645</v>
      </c>
      <c r="B638" s="2">
        <v>44042.291666666664</v>
      </c>
      <c r="C638" s="2">
        <v>44042.5</v>
      </c>
      <c r="D638">
        <v>3</v>
      </c>
      <c r="E638" t="s">
        <v>4</v>
      </c>
      <c r="F638" t="s">
        <v>10</v>
      </c>
      <c r="G638" t="s">
        <v>23</v>
      </c>
      <c r="H638">
        <v>76</v>
      </c>
      <c r="I638">
        <v>2.69</v>
      </c>
      <c r="J638">
        <v>1.07</v>
      </c>
      <c r="K638" t="s">
        <v>15</v>
      </c>
      <c r="L638">
        <v>65</v>
      </c>
      <c r="M638">
        <v>170</v>
      </c>
      <c r="N638">
        <v>93</v>
      </c>
      <c r="O638">
        <v>44</v>
      </c>
      <c r="P638" t="s">
        <v>46</v>
      </c>
    </row>
    <row r="639" spans="1:16" x14ac:dyDescent="0.25">
      <c r="A639">
        <v>646</v>
      </c>
      <c r="B639" s="2">
        <v>44042.291666666664</v>
      </c>
      <c r="C639" s="2">
        <v>44042.510416666664</v>
      </c>
      <c r="D639">
        <v>5</v>
      </c>
      <c r="E639" t="s">
        <v>4</v>
      </c>
      <c r="F639" t="s">
        <v>3</v>
      </c>
      <c r="G639" t="s">
        <v>28</v>
      </c>
      <c r="H639">
        <v>62</v>
      </c>
      <c r="I639">
        <v>2.5299999999999998</v>
      </c>
      <c r="J639">
        <v>2.2999999999999998</v>
      </c>
      <c r="K639" t="s">
        <v>15</v>
      </c>
      <c r="L639">
        <v>67</v>
      </c>
      <c r="M639">
        <v>158</v>
      </c>
      <c r="N639">
        <v>65</v>
      </c>
      <c r="O639">
        <v>55</v>
      </c>
      <c r="P639" t="s">
        <v>44</v>
      </c>
    </row>
    <row r="640" spans="1:16" x14ac:dyDescent="0.25">
      <c r="A640">
        <v>647</v>
      </c>
      <c r="B640" s="2">
        <v>44042.288194444445</v>
      </c>
      <c r="C640" s="2">
        <v>44042.53125</v>
      </c>
      <c r="D640">
        <v>6</v>
      </c>
      <c r="E640" t="s">
        <v>4</v>
      </c>
      <c r="F640" t="s">
        <v>3</v>
      </c>
      <c r="G640" t="s">
        <v>33</v>
      </c>
      <c r="H640">
        <v>48</v>
      </c>
      <c r="I640">
        <v>3.37</v>
      </c>
      <c r="J640">
        <v>3.33</v>
      </c>
      <c r="K640" t="s">
        <v>15</v>
      </c>
      <c r="L640">
        <v>96</v>
      </c>
      <c r="M640">
        <v>155</v>
      </c>
      <c r="N640">
        <v>68</v>
      </c>
      <c r="O640">
        <v>34</v>
      </c>
      <c r="P640" t="s">
        <v>46</v>
      </c>
    </row>
    <row r="641" spans="1:16" x14ac:dyDescent="0.25">
      <c r="A641">
        <v>648</v>
      </c>
      <c r="B641" s="2">
        <v>44023.416666666664</v>
      </c>
      <c r="C641" s="2">
        <v>44042.555555555555</v>
      </c>
      <c r="D641">
        <v>4</v>
      </c>
      <c r="E641" t="s">
        <v>6</v>
      </c>
      <c r="F641" t="s">
        <v>11</v>
      </c>
      <c r="G641" t="s">
        <v>32</v>
      </c>
      <c r="H641">
        <v>88</v>
      </c>
      <c r="I641">
        <v>15.41</v>
      </c>
      <c r="J641">
        <v>8.9499999999999993</v>
      </c>
      <c r="K641" t="s">
        <v>15</v>
      </c>
      <c r="L641">
        <v>76</v>
      </c>
      <c r="M641">
        <v>175</v>
      </c>
      <c r="N641">
        <v>78</v>
      </c>
      <c r="O641">
        <v>55</v>
      </c>
      <c r="P641" t="s">
        <v>44</v>
      </c>
    </row>
    <row r="642" spans="1:16" x14ac:dyDescent="0.25">
      <c r="A642">
        <v>649</v>
      </c>
      <c r="B642" s="2">
        <v>44042.865277777775</v>
      </c>
      <c r="C642" s="2">
        <v>44043.20416666667</v>
      </c>
      <c r="D642">
        <v>1</v>
      </c>
      <c r="E642" t="s">
        <v>2</v>
      </c>
      <c r="F642" t="s">
        <v>3</v>
      </c>
      <c r="G642" t="s">
        <v>28</v>
      </c>
      <c r="H642">
        <v>64</v>
      </c>
      <c r="I642">
        <v>29.7</v>
      </c>
      <c r="J642">
        <v>3.25</v>
      </c>
      <c r="K642" t="s">
        <v>15</v>
      </c>
      <c r="L642">
        <v>164</v>
      </c>
      <c r="M642">
        <v>165</v>
      </c>
      <c r="N642">
        <v>63</v>
      </c>
      <c r="O642">
        <v>53</v>
      </c>
      <c r="P642" t="s">
        <v>44</v>
      </c>
    </row>
    <row r="643" spans="1:16" x14ac:dyDescent="0.25">
      <c r="A643">
        <v>650</v>
      </c>
      <c r="B643" s="2">
        <v>44042.677083333336</v>
      </c>
      <c r="C643" s="2">
        <v>44043.333333333336</v>
      </c>
      <c r="D643">
        <v>3</v>
      </c>
      <c r="E643" t="s">
        <v>4</v>
      </c>
      <c r="F643" t="s">
        <v>10</v>
      </c>
      <c r="G643" t="s">
        <v>27</v>
      </c>
      <c r="H643">
        <v>76</v>
      </c>
      <c r="I643">
        <v>2.69</v>
      </c>
      <c r="J643">
        <v>1.07</v>
      </c>
      <c r="K643" t="s">
        <v>15</v>
      </c>
      <c r="L643">
        <v>65</v>
      </c>
      <c r="M643">
        <v>175</v>
      </c>
      <c r="N643">
        <v>87</v>
      </c>
      <c r="O643">
        <v>55</v>
      </c>
      <c r="P643" t="s">
        <v>44</v>
      </c>
    </row>
    <row r="644" spans="1:16" x14ac:dyDescent="0.25">
      <c r="A644">
        <v>651</v>
      </c>
      <c r="B644" s="2">
        <v>44042.667361111111</v>
      </c>
      <c r="C644" s="2">
        <v>44043.341666666667</v>
      </c>
      <c r="D644">
        <v>4</v>
      </c>
      <c r="E644" t="s">
        <v>4</v>
      </c>
      <c r="F644" t="s">
        <v>10</v>
      </c>
      <c r="G644" t="s">
        <v>31</v>
      </c>
      <c r="H644">
        <v>61</v>
      </c>
      <c r="I644">
        <v>1.39</v>
      </c>
      <c r="J644">
        <v>0.71</v>
      </c>
      <c r="K644" t="s">
        <v>15</v>
      </c>
      <c r="L644">
        <v>71</v>
      </c>
      <c r="M644">
        <v>163</v>
      </c>
      <c r="N644">
        <v>85</v>
      </c>
      <c r="O644">
        <v>51</v>
      </c>
      <c r="P644" t="s">
        <v>44</v>
      </c>
    </row>
    <row r="645" spans="1:16" x14ac:dyDescent="0.25">
      <c r="A645">
        <v>652</v>
      </c>
      <c r="B645" s="2">
        <v>44027.57916666667</v>
      </c>
      <c r="C645" s="2">
        <v>44043.500694444447</v>
      </c>
      <c r="D645">
        <v>4</v>
      </c>
      <c r="E645" t="s">
        <v>6</v>
      </c>
      <c r="F645" t="s">
        <v>10</v>
      </c>
      <c r="G645" t="s">
        <v>31</v>
      </c>
      <c r="H645">
        <v>80</v>
      </c>
      <c r="I645">
        <v>9.24</v>
      </c>
      <c r="J645">
        <v>4.33</v>
      </c>
      <c r="K645" t="s">
        <v>15</v>
      </c>
      <c r="L645">
        <v>84</v>
      </c>
      <c r="M645">
        <v>164</v>
      </c>
      <c r="N645">
        <v>95</v>
      </c>
      <c r="O645">
        <v>50</v>
      </c>
      <c r="P645" t="s">
        <v>46</v>
      </c>
    </row>
    <row r="646" spans="1:16" x14ac:dyDescent="0.25">
      <c r="A646">
        <v>653</v>
      </c>
      <c r="B646" s="2">
        <v>44043.291666666664</v>
      </c>
      <c r="C646" s="2">
        <v>44043.609027777777</v>
      </c>
      <c r="D646">
        <v>3</v>
      </c>
      <c r="E646" t="s">
        <v>4</v>
      </c>
      <c r="F646" t="s">
        <v>3</v>
      </c>
      <c r="G646" t="s">
        <v>27</v>
      </c>
      <c r="H646">
        <v>69</v>
      </c>
      <c r="I646">
        <v>2.89</v>
      </c>
      <c r="J646">
        <v>0.72</v>
      </c>
      <c r="K646" t="s">
        <v>15</v>
      </c>
      <c r="L646">
        <v>102</v>
      </c>
      <c r="M646">
        <v>172</v>
      </c>
      <c r="N646">
        <v>74</v>
      </c>
      <c r="O646">
        <v>58</v>
      </c>
      <c r="P646" t="s">
        <v>44</v>
      </c>
    </row>
    <row r="647" spans="1:16" x14ac:dyDescent="0.25">
      <c r="A647">
        <v>654</v>
      </c>
      <c r="B647" s="2">
        <v>44043.666666666664</v>
      </c>
      <c r="C647" s="2">
        <v>44044.34375</v>
      </c>
      <c r="D647">
        <v>5</v>
      </c>
      <c r="E647" t="s">
        <v>4</v>
      </c>
      <c r="F647" t="s">
        <v>10</v>
      </c>
      <c r="G647" t="s">
        <v>26</v>
      </c>
      <c r="H647">
        <v>67</v>
      </c>
      <c r="I647">
        <v>6.34</v>
      </c>
      <c r="J647">
        <v>2.8</v>
      </c>
      <c r="K647" t="s">
        <v>15</v>
      </c>
      <c r="L647">
        <v>66</v>
      </c>
      <c r="M647">
        <v>163</v>
      </c>
      <c r="N647">
        <v>62</v>
      </c>
      <c r="O647">
        <v>50</v>
      </c>
      <c r="P647" t="s">
        <v>46</v>
      </c>
    </row>
    <row r="648" spans="1:16" x14ac:dyDescent="0.25">
      <c r="A648">
        <v>655</v>
      </c>
      <c r="B648" s="2">
        <v>44037.652777777781</v>
      </c>
      <c r="C648" s="2">
        <v>44044.552777777775</v>
      </c>
      <c r="D648">
        <v>5</v>
      </c>
      <c r="E648" t="s">
        <v>6</v>
      </c>
      <c r="F648" t="s">
        <v>10</v>
      </c>
      <c r="G648" t="s">
        <v>26</v>
      </c>
      <c r="H648">
        <v>64</v>
      </c>
      <c r="I648">
        <v>5.9</v>
      </c>
      <c r="J648">
        <v>2.77</v>
      </c>
      <c r="K648" t="s">
        <v>15</v>
      </c>
      <c r="L648">
        <v>77</v>
      </c>
      <c r="M648">
        <v>168</v>
      </c>
      <c r="N648">
        <v>79</v>
      </c>
      <c r="O648">
        <v>18</v>
      </c>
      <c r="P648" t="s">
        <v>47</v>
      </c>
    </row>
    <row r="649" spans="1:16" x14ac:dyDescent="0.25">
      <c r="A649">
        <v>656</v>
      </c>
      <c r="B649" s="2">
        <v>44045.666666666664</v>
      </c>
      <c r="C649" s="2">
        <v>44046.336805555555</v>
      </c>
      <c r="D649">
        <v>4</v>
      </c>
      <c r="E649" t="s">
        <v>4</v>
      </c>
      <c r="F649" t="s">
        <v>3</v>
      </c>
      <c r="G649" t="s">
        <v>32</v>
      </c>
      <c r="H649">
        <v>63</v>
      </c>
      <c r="I649">
        <v>1.96</v>
      </c>
      <c r="J649">
        <v>1.04</v>
      </c>
      <c r="K649" t="s">
        <v>15</v>
      </c>
      <c r="L649">
        <v>116</v>
      </c>
      <c r="M649">
        <v>165</v>
      </c>
      <c r="N649">
        <v>62</v>
      </c>
      <c r="O649">
        <v>57</v>
      </c>
      <c r="P649" t="s">
        <v>44</v>
      </c>
    </row>
    <row r="650" spans="1:16" x14ac:dyDescent="0.25">
      <c r="A650">
        <v>657</v>
      </c>
      <c r="B650" s="2">
        <v>44045.625</v>
      </c>
      <c r="C650" s="2">
        <v>44046.338888888888</v>
      </c>
      <c r="D650">
        <v>2</v>
      </c>
      <c r="E650" t="s">
        <v>4</v>
      </c>
      <c r="F650" t="s">
        <v>10</v>
      </c>
      <c r="G650" t="s">
        <v>24</v>
      </c>
      <c r="H650">
        <v>72</v>
      </c>
      <c r="I650">
        <v>2.0699999999999998</v>
      </c>
      <c r="J650">
        <v>1.81</v>
      </c>
      <c r="K650" t="s">
        <v>15</v>
      </c>
      <c r="L650">
        <v>109</v>
      </c>
      <c r="M650">
        <v>159</v>
      </c>
      <c r="N650">
        <v>79</v>
      </c>
      <c r="O650">
        <v>70</v>
      </c>
      <c r="P650" t="s">
        <v>44</v>
      </c>
    </row>
    <row r="651" spans="1:16" x14ac:dyDescent="0.25">
      <c r="A651">
        <v>658</v>
      </c>
      <c r="B651" s="2">
        <v>44045.666666666664</v>
      </c>
      <c r="C651" s="2">
        <v>44046.342361111114</v>
      </c>
      <c r="D651">
        <v>6</v>
      </c>
      <c r="E651" t="s">
        <v>4</v>
      </c>
      <c r="F651" t="s">
        <v>11</v>
      </c>
      <c r="G651" t="s">
        <v>23</v>
      </c>
      <c r="H651">
        <v>84</v>
      </c>
      <c r="I651">
        <v>13.48</v>
      </c>
      <c r="J651">
        <v>23.42</v>
      </c>
      <c r="K651" t="s">
        <v>15</v>
      </c>
      <c r="L651">
        <v>80</v>
      </c>
      <c r="M651">
        <v>183</v>
      </c>
      <c r="N651">
        <v>101</v>
      </c>
      <c r="O651">
        <v>26</v>
      </c>
      <c r="P651" t="s">
        <v>45</v>
      </c>
    </row>
    <row r="652" spans="1:16" x14ac:dyDescent="0.25">
      <c r="A652">
        <v>659</v>
      </c>
      <c r="B652" s="2">
        <v>44044.635416666664</v>
      </c>
      <c r="C652" s="2">
        <v>44046.345833333333</v>
      </c>
      <c r="D652">
        <v>5</v>
      </c>
      <c r="E652" t="s">
        <v>4</v>
      </c>
      <c r="F652" t="s">
        <v>11</v>
      </c>
      <c r="G652" t="s">
        <v>33</v>
      </c>
      <c r="H652">
        <v>75</v>
      </c>
      <c r="I652">
        <v>4.25</v>
      </c>
      <c r="J652">
        <v>2.2799999999999998</v>
      </c>
      <c r="K652" t="s">
        <v>15</v>
      </c>
      <c r="L652">
        <v>64</v>
      </c>
      <c r="M652">
        <v>172</v>
      </c>
      <c r="N652">
        <v>75</v>
      </c>
      <c r="O652">
        <v>69</v>
      </c>
      <c r="P652" t="s">
        <v>44</v>
      </c>
    </row>
    <row r="653" spans="1:16" x14ac:dyDescent="0.25">
      <c r="A653">
        <v>660</v>
      </c>
      <c r="B653" s="2">
        <v>44038.458333333336</v>
      </c>
      <c r="C653" s="2">
        <v>44046.460416666669</v>
      </c>
      <c r="D653">
        <v>2</v>
      </c>
      <c r="E653" t="s">
        <v>6</v>
      </c>
      <c r="F653" t="s">
        <v>10</v>
      </c>
      <c r="G653" t="s">
        <v>24</v>
      </c>
      <c r="H653">
        <v>72</v>
      </c>
      <c r="I653">
        <v>3.52</v>
      </c>
      <c r="J653">
        <v>1.56</v>
      </c>
      <c r="K653" t="s">
        <v>15</v>
      </c>
      <c r="L653">
        <v>70</v>
      </c>
      <c r="M653">
        <v>180</v>
      </c>
      <c r="N653">
        <v>70</v>
      </c>
      <c r="O653">
        <v>52</v>
      </c>
      <c r="P653" t="s">
        <v>44</v>
      </c>
    </row>
    <row r="654" spans="1:16" x14ac:dyDescent="0.25">
      <c r="A654">
        <v>661</v>
      </c>
      <c r="B654" s="2">
        <v>44046.29583333333</v>
      </c>
      <c r="C654" s="2">
        <v>44046.510416666664</v>
      </c>
      <c r="D654">
        <v>4</v>
      </c>
      <c r="E654" t="s">
        <v>4</v>
      </c>
      <c r="F654" t="s">
        <v>3</v>
      </c>
      <c r="G654" t="s">
        <v>32</v>
      </c>
      <c r="H654">
        <v>70</v>
      </c>
      <c r="I654">
        <v>3.08</v>
      </c>
      <c r="J654">
        <v>0.74</v>
      </c>
      <c r="K654" t="s">
        <v>15</v>
      </c>
      <c r="L654">
        <v>106</v>
      </c>
      <c r="M654">
        <v>184</v>
      </c>
      <c r="N654">
        <v>91</v>
      </c>
      <c r="O654">
        <v>67</v>
      </c>
      <c r="P654" t="s">
        <v>44</v>
      </c>
    </row>
    <row r="655" spans="1:16" x14ac:dyDescent="0.25">
      <c r="A655">
        <v>662</v>
      </c>
      <c r="B655" s="2">
        <v>44046.294444444444</v>
      </c>
      <c r="C655" s="2">
        <v>44046.538194444445</v>
      </c>
      <c r="D655">
        <v>6</v>
      </c>
      <c r="E655" t="s">
        <v>4</v>
      </c>
      <c r="F655" t="s">
        <v>1</v>
      </c>
      <c r="G655" t="s">
        <v>23</v>
      </c>
      <c r="H655">
        <v>53</v>
      </c>
      <c r="I655">
        <v>17.63</v>
      </c>
      <c r="J655">
        <v>4.57</v>
      </c>
      <c r="K655" t="s">
        <v>15</v>
      </c>
      <c r="L655">
        <v>81</v>
      </c>
      <c r="M655">
        <v>167</v>
      </c>
      <c r="N655">
        <v>85</v>
      </c>
      <c r="O655">
        <v>55</v>
      </c>
      <c r="P655" t="s">
        <v>44</v>
      </c>
    </row>
    <row r="656" spans="1:16" x14ac:dyDescent="0.25">
      <c r="A656">
        <v>663</v>
      </c>
      <c r="B656" s="2">
        <v>44026.400000000001</v>
      </c>
      <c r="C656" s="2">
        <v>44046.565972222219</v>
      </c>
      <c r="D656">
        <v>5</v>
      </c>
      <c r="E656" t="s">
        <v>6</v>
      </c>
      <c r="F656" t="s">
        <v>10</v>
      </c>
      <c r="G656" t="s">
        <v>33</v>
      </c>
      <c r="H656">
        <v>77</v>
      </c>
      <c r="I656">
        <v>7.19</v>
      </c>
      <c r="J656">
        <v>2.64</v>
      </c>
      <c r="K656" t="s">
        <v>15</v>
      </c>
      <c r="L656">
        <v>103</v>
      </c>
      <c r="M656">
        <v>177</v>
      </c>
      <c r="N656">
        <v>84</v>
      </c>
      <c r="O656">
        <v>42</v>
      </c>
      <c r="P656" t="s">
        <v>46</v>
      </c>
    </row>
    <row r="657" spans="1:16" x14ac:dyDescent="0.25">
      <c r="A657">
        <v>664</v>
      </c>
      <c r="B657" s="2">
        <v>44046.488194444442</v>
      </c>
      <c r="C657" s="2">
        <v>44046.836805555555</v>
      </c>
      <c r="D657">
        <v>4</v>
      </c>
      <c r="E657" t="s">
        <v>2</v>
      </c>
      <c r="F657" t="s">
        <v>10</v>
      </c>
      <c r="G657" t="s">
        <v>23</v>
      </c>
      <c r="H657">
        <v>59</v>
      </c>
      <c r="I657">
        <v>28.98</v>
      </c>
      <c r="J657">
        <v>24.94</v>
      </c>
      <c r="K657" t="s">
        <v>15</v>
      </c>
      <c r="L657">
        <v>70</v>
      </c>
      <c r="M657">
        <v>180</v>
      </c>
      <c r="N657">
        <v>98</v>
      </c>
      <c r="O657">
        <v>50</v>
      </c>
      <c r="P657" t="s">
        <v>46</v>
      </c>
    </row>
    <row r="658" spans="1:16" x14ac:dyDescent="0.25">
      <c r="A658">
        <v>665</v>
      </c>
      <c r="B658" s="2">
        <v>44046.678472222222</v>
      </c>
      <c r="C658" s="2">
        <v>44047.333333333336</v>
      </c>
      <c r="D658">
        <v>6</v>
      </c>
      <c r="E658" t="s">
        <v>4</v>
      </c>
      <c r="F658" t="s">
        <v>11</v>
      </c>
      <c r="G658" t="s">
        <v>26</v>
      </c>
      <c r="H658">
        <v>64</v>
      </c>
      <c r="I658">
        <v>2.88</v>
      </c>
      <c r="J658">
        <v>2.4300000000000002</v>
      </c>
      <c r="K658" t="s">
        <v>15</v>
      </c>
      <c r="L658">
        <v>79</v>
      </c>
      <c r="M658">
        <v>176</v>
      </c>
      <c r="N658">
        <v>74</v>
      </c>
      <c r="O658">
        <v>48</v>
      </c>
      <c r="P658" t="s">
        <v>46</v>
      </c>
    </row>
    <row r="659" spans="1:16" x14ac:dyDescent="0.25">
      <c r="A659">
        <v>666</v>
      </c>
      <c r="B659" s="2">
        <v>44046.666666666664</v>
      </c>
      <c r="C659" s="2">
        <v>44047.345138888886</v>
      </c>
      <c r="D659">
        <v>4</v>
      </c>
      <c r="E659" t="s">
        <v>4</v>
      </c>
      <c r="F659" t="s">
        <v>1</v>
      </c>
      <c r="G659" t="s">
        <v>30</v>
      </c>
      <c r="H659">
        <v>66</v>
      </c>
      <c r="I659">
        <v>7.21</v>
      </c>
      <c r="J659">
        <v>3.25</v>
      </c>
      <c r="K659" t="s">
        <v>15</v>
      </c>
      <c r="L659">
        <v>61</v>
      </c>
      <c r="M659">
        <v>171</v>
      </c>
      <c r="N659">
        <v>70</v>
      </c>
      <c r="O659">
        <v>70</v>
      </c>
      <c r="P659" t="s">
        <v>44</v>
      </c>
    </row>
    <row r="660" spans="1:16" x14ac:dyDescent="0.25">
      <c r="A660">
        <v>667</v>
      </c>
      <c r="B660" s="2">
        <v>44045.458333333336</v>
      </c>
      <c r="C660" s="2">
        <v>44047.350694444445</v>
      </c>
      <c r="D660">
        <v>5</v>
      </c>
      <c r="E660" t="s">
        <v>6</v>
      </c>
      <c r="F660" t="s">
        <v>1</v>
      </c>
      <c r="G660" t="s">
        <v>29</v>
      </c>
      <c r="H660">
        <v>78</v>
      </c>
      <c r="I660">
        <v>37.46</v>
      </c>
      <c r="J660">
        <v>9.68</v>
      </c>
      <c r="K660" t="s">
        <v>13</v>
      </c>
      <c r="L660">
        <v>62</v>
      </c>
      <c r="M660">
        <v>157</v>
      </c>
      <c r="N660">
        <v>67</v>
      </c>
      <c r="O660">
        <v>55</v>
      </c>
      <c r="P660" t="s">
        <v>44</v>
      </c>
    </row>
    <row r="661" spans="1:16" x14ac:dyDescent="0.25">
      <c r="A661">
        <v>668</v>
      </c>
      <c r="B661" s="2">
        <v>44046.67291666667</v>
      </c>
      <c r="C661" s="2">
        <v>44047.399305555555</v>
      </c>
      <c r="D661">
        <v>3</v>
      </c>
      <c r="E661" t="s">
        <v>4</v>
      </c>
      <c r="F661" t="s">
        <v>3</v>
      </c>
      <c r="G661" t="s">
        <v>27</v>
      </c>
      <c r="H661">
        <v>80</v>
      </c>
      <c r="I661">
        <v>5.83</v>
      </c>
      <c r="J661">
        <v>0.98</v>
      </c>
      <c r="K661" t="s">
        <v>15</v>
      </c>
      <c r="L661">
        <v>93</v>
      </c>
      <c r="M661">
        <v>176</v>
      </c>
      <c r="N661">
        <v>92</v>
      </c>
      <c r="O661">
        <v>55</v>
      </c>
      <c r="P661" t="s">
        <v>44</v>
      </c>
    </row>
    <row r="662" spans="1:16" x14ac:dyDescent="0.25">
      <c r="A662">
        <v>669</v>
      </c>
      <c r="B662" s="2">
        <v>44045.604166666664</v>
      </c>
      <c r="C662" s="2">
        <v>44047.582638888889</v>
      </c>
      <c r="D662">
        <v>3</v>
      </c>
      <c r="E662" t="s">
        <v>6</v>
      </c>
      <c r="F662" t="s">
        <v>10</v>
      </c>
      <c r="G662" t="s">
        <v>27</v>
      </c>
      <c r="H662">
        <v>59</v>
      </c>
      <c r="I662">
        <v>0.88</v>
      </c>
      <c r="J662">
        <v>0.77</v>
      </c>
      <c r="K662" t="s">
        <v>15</v>
      </c>
      <c r="L662">
        <v>105</v>
      </c>
      <c r="M662">
        <v>178</v>
      </c>
      <c r="N662">
        <v>87</v>
      </c>
      <c r="O662">
        <v>54</v>
      </c>
      <c r="P662" t="s">
        <v>44</v>
      </c>
    </row>
    <row r="663" spans="1:16" x14ac:dyDescent="0.25">
      <c r="A663">
        <v>670</v>
      </c>
      <c r="B663" s="2">
        <v>44047.295138888891</v>
      </c>
      <c r="C663" s="2">
        <v>44047.583333333336</v>
      </c>
      <c r="D663">
        <v>5</v>
      </c>
      <c r="E663" t="s">
        <v>4</v>
      </c>
      <c r="F663" t="s">
        <v>10</v>
      </c>
      <c r="G663" t="s">
        <v>29</v>
      </c>
      <c r="H663">
        <v>76</v>
      </c>
      <c r="I663">
        <v>10.26</v>
      </c>
      <c r="J663">
        <v>7.59</v>
      </c>
      <c r="K663" t="s">
        <v>15</v>
      </c>
      <c r="L663">
        <v>95</v>
      </c>
      <c r="M663">
        <v>175</v>
      </c>
      <c r="N663">
        <v>67</v>
      </c>
      <c r="O663">
        <v>51</v>
      </c>
      <c r="P663" t="s">
        <v>44</v>
      </c>
    </row>
    <row r="664" spans="1:16" x14ac:dyDescent="0.25">
      <c r="A664">
        <v>671</v>
      </c>
      <c r="B664" s="2">
        <v>44047.303472222222</v>
      </c>
      <c r="C664" s="2">
        <v>44047.642361111109</v>
      </c>
      <c r="D664">
        <v>6</v>
      </c>
      <c r="E664" t="s">
        <v>4</v>
      </c>
      <c r="F664" t="s">
        <v>10</v>
      </c>
      <c r="G664" t="s">
        <v>26</v>
      </c>
      <c r="H664">
        <v>72</v>
      </c>
      <c r="I664">
        <v>3.11</v>
      </c>
      <c r="J664">
        <v>0.96</v>
      </c>
      <c r="K664" t="s">
        <v>15</v>
      </c>
      <c r="L664">
        <v>126</v>
      </c>
      <c r="M664">
        <v>182</v>
      </c>
      <c r="N664">
        <v>93</v>
      </c>
      <c r="O664">
        <v>55</v>
      </c>
      <c r="P664" t="s">
        <v>44</v>
      </c>
    </row>
    <row r="665" spans="1:16" x14ac:dyDescent="0.25">
      <c r="A665">
        <v>672</v>
      </c>
      <c r="B665" s="2">
        <v>44047.661111111112</v>
      </c>
      <c r="C665" s="2">
        <v>44048.326388888891</v>
      </c>
      <c r="D665">
        <v>5</v>
      </c>
      <c r="E665" t="s">
        <v>4</v>
      </c>
      <c r="F665" t="s">
        <v>3</v>
      </c>
      <c r="G665" t="s">
        <v>28</v>
      </c>
      <c r="H665">
        <v>80</v>
      </c>
      <c r="I665">
        <v>15.66</v>
      </c>
      <c r="J665">
        <v>5.03</v>
      </c>
      <c r="K665" t="s">
        <v>15</v>
      </c>
      <c r="L665">
        <v>62</v>
      </c>
      <c r="M665">
        <v>176</v>
      </c>
      <c r="N665">
        <v>74</v>
      </c>
      <c r="O665">
        <v>60</v>
      </c>
      <c r="P665" t="s">
        <v>44</v>
      </c>
    </row>
    <row r="666" spans="1:16" x14ac:dyDescent="0.25">
      <c r="A666">
        <v>673</v>
      </c>
      <c r="B666" s="2">
        <v>44047.679166666669</v>
      </c>
      <c r="C666" s="2">
        <v>44048.342361111114</v>
      </c>
      <c r="D666">
        <v>2</v>
      </c>
      <c r="E666" t="s">
        <v>4</v>
      </c>
      <c r="F666" t="s">
        <v>3</v>
      </c>
      <c r="G666" t="s">
        <v>32</v>
      </c>
      <c r="H666">
        <v>60</v>
      </c>
      <c r="I666">
        <v>3.65</v>
      </c>
      <c r="J666">
        <v>1.01</v>
      </c>
      <c r="K666" t="s">
        <v>15</v>
      </c>
      <c r="L666">
        <v>100</v>
      </c>
      <c r="M666">
        <v>170</v>
      </c>
      <c r="N666">
        <v>70</v>
      </c>
      <c r="O666">
        <v>58</v>
      </c>
      <c r="P666" t="s">
        <v>44</v>
      </c>
    </row>
    <row r="667" spans="1:16" x14ac:dyDescent="0.25">
      <c r="A667">
        <v>674</v>
      </c>
      <c r="B667" s="2">
        <v>44047.364583333336</v>
      </c>
      <c r="C667" s="2">
        <v>44048.34375</v>
      </c>
      <c r="D667">
        <v>4</v>
      </c>
      <c r="E667" t="s">
        <v>4</v>
      </c>
      <c r="F667" t="s">
        <v>10</v>
      </c>
      <c r="G667" t="s">
        <v>24</v>
      </c>
      <c r="H667">
        <v>53</v>
      </c>
      <c r="I667">
        <v>2.87</v>
      </c>
      <c r="J667">
        <v>1.57</v>
      </c>
      <c r="K667" t="s">
        <v>15</v>
      </c>
      <c r="L667">
        <v>97</v>
      </c>
      <c r="M667">
        <v>168</v>
      </c>
      <c r="N667">
        <v>89</v>
      </c>
      <c r="O667">
        <v>51</v>
      </c>
      <c r="P667" t="s">
        <v>44</v>
      </c>
    </row>
    <row r="668" spans="1:16" x14ac:dyDescent="0.25">
      <c r="A668">
        <v>675</v>
      </c>
      <c r="B668" s="2">
        <v>44046.42291666667</v>
      </c>
      <c r="C668" s="2">
        <v>44048.34375</v>
      </c>
      <c r="D668">
        <v>6</v>
      </c>
      <c r="E668" t="s">
        <v>6</v>
      </c>
      <c r="F668" t="s">
        <v>11</v>
      </c>
      <c r="G668" t="s">
        <v>31</v>
      </c>
      <c r="H668">
        <v>66</v>
      </c>
      <c r="I668">
        <v>4.4800000000000004</v>
      </c>
      <c r="J668">
        <v>3.16</v>
      </c>
      <c r="K668" t="s">
        <v>15</v>
      </c>
      <c r="L668">
        <v>79</v>
      </c>
      <c r="M668">
        <v>177</v>
      </c>
      <c r="N668">
        <v>96</v>
      </c>
      <c r="O668">
        <v>55</v>
      </c>
      <c r="P668" t="s">
        <v>44</v>
      </c>
    </row>
    <row r="669" spans="1:16" x14ac:dyDescent="0.25">
      <c r="A669">
        <v>676</v>
      </c>
      <c r="B669" s="2">
        <v>44047.629166666666</v>
      </c>
      <c r="C669" s="2">
        <v>44048.46597222222</v>
      </c>
      <c r="D669">
        <v>2</v>
      </c>
      <c r="E669" t="s">
        <v>4</v>
      </c>
      <c r="F669" t="s">
        <v>3</v>
      </c>
      <c r="G669" t="s">
        <v>32</v>
      </c>
      <c r="H669">
        <v>78</v>
      </c>
      <c r="I669">
        <v>5.14</v>
      </c>
      <c r="J669">
        <v>1.25</v>
      </c>
      <c r="K669" t="s">
        <v>15</v>
      </c>
      <c r="L669">
        <v>83</v>
      </c>
      <c r="M669">
        <v>172</v>
      </c>
      <c r="N669">
        <v>99</v>
      </c>
      <c r="O669">
        <v>35</v>
      </c>
      <c r="P669" t="s">
        <v>46</v>
      </c>
    </row>
    <row r="670" spans="1:16" x14ac:dyDescent="0.25">
      <c r="A670">
        <v>677</v>
      </c>
      <c r="B670" s="2">
        <v>44048.291666666664</v>
      </c>
      <c r="C670" s="2">
        <v>44048.527777777781</v>
      </c>
      <c r="D670">
        <v>5</v>
      </c>
      <c r="E670" t="s">
        <v>4</v>
      </c>
      <c r="F670" t="s">
        <v>3</v>
      </c>
      <c r="G670" t="s">
        <v>28</v>
      </c>
      <c r="H670">
        <v>62</v>
      </c>
      <c r="I670">
        <v>5.19</v>
      </c>
      <c r="J670">
        <v>5.32</v>
      </c>
      <c r="K670" t="s">
        <v>15</v>
      </c>
      <c r="L670">
        <v>80</v>
      </c>
      <c r="M670">
        <v>168</v>
      </c>
      <c r="N670">
        <v>100</v>
      </c>
      <c r="O670">
        <v>55</v>
      </c>
      <c r="P670" t="s">
        <v>44</v>
      </c>
    </row>
    <row r="671" spans="1:16" x14ac:dyDescent="0.25">
      <c r="A671">
        <v>678</v>
      </c>
      <c r="B671" s="2">
        <v>44046.424305555556</v>
      </c>
      <c r="C671" s="2">
        <v>44048.571527777778</v>
      </c>
      <c r="D671">
        <v>4</v>
      </c>
      <c r="E671" t="s">
        <v>6</v>
      </c>
      <c r="F671" t="s">
        <v>10</v>
      </c>
      <c r="G671" t="s">
        <v>24</v>
      </c>
      <c r="H671">
        <v>64</v>
      </c>
      <c r="I671">
        <v>2.1</v>
      </c>
      <c r="J671">
        <v>1</v>
      </c>
      <c r="K671" t="s">
        <v>15</v>
      </c>
      <c r="L671">
        <v>79</v>
      </c>
      <c r="M671">
        <v>158</v>
      </c>
      <c r="N671">
        <v>68</v>
      </c>
      <c r="O671">
        <v>25</v>
      </c>
      <c r="P671" t="s">
        <v>45</v>
      </c>
    </row>
    <row r="672" spans="1:16" x14ac:dyDescent="0.25">
      <c r="A672">
        <v>679</v>
      </c>
      <c r="B672" s="2">
        <v>44047.681944444441</v>
      </c>
      <c r="C672" s="2">
        <v>44048.604166666664</v>
      </c>
      <c r="D672">
        <v>2</v>
      </c>
      <c r="E672" t="s">
        <v>4</v>
      </c>
      <c r="F672" t="s">
        <v>3</v>
      </c>
      <c r="G672" t="s">
        <v>32</v>
      </c>
      <c r="H672">
        <v>68</v>
      </c>
      <c r="I672">
        <v>4.0599999999999996</v>
      </c>
      <c r="J672">
        <v>2.79</v>
      </c>
      <c r="K672" t="s">
        <v>15</v>
      </c>
      <c r="L672">
        <v>131</v>
      </c>
      <c r="M672">
        <v>163</v>
      </c>
      <c r="N672">
        <v>88</v>
      </c>
      <c r="O672">
        <v>35</v>
      </c>
      <c r="P672" t="s">
        <v>46</v>
      </c>
    </row>
    <row r="673" spans="1:16" x14ac:dyDescent="0.25">
      <c r="A673">
        <v>680</v>
      </c>
      <c r="B673" s="2">
        <v>44044.04583333333</v>
      </c>
      <c r="C673" s="2">
        <v>44048.627083333333</v>
      </c>
      <c r="D673">
        <v>6</v>
      </c>
      <c r="E673" t="s">
        <v>6</v>
      </c>
      <c r="F673" t="s">
        <v>10</v>
      </c>
      <c r="G673" t="s">
        <v>31</v>
      </c>
      <c r="H673">
        <v>66</v>
      </c>
      <c r="I673">
        <v>13.1</v>
      </c>
      <c r="J673">
        <v>8.26</v>
      </c>
      <c r="K673" t="s">
        <v>15</v>
      </c>
      <c r="L673">
        <v>86</v>
      </c>
      <c r="M673">
        <v>164</v>
      </c>
      <c r="N673">
        <v>77</v>
      </c>
      <c r="O673">
        <v>70</v>
      </c>
      <c r="P673" t="s">
        <v>44</v>
      </c>
    </row>
    <row r="674" spans="1:16" x14ac:dyDescent="0.25">
      <c r="A674">
        <v>681</v>
      </c>
      <c r="B674" s="2">
        <v>44048.651388888888</v>
      </c>
      <c r="C674" s="2">
        <v>44049.338888888888</v>
      </c>
      <c r="D674">
        <v>3</v>
      </c>
      <c r="E674" t="s">
        <v>4</v>
      </c>
      <c r="F674" t="s">
        <v>3</v>
      </c>
      <c r="G674" t="s">
        <v>33</v>
      </c>
      <c r="H674">
        <v>81</v>
      </c>
      <c r="I674">
        <v>6.21</v>
      </c>
      <c r="J674">
        <v>1.22</v>
      </c>
      <c r="K674" t="s">
        <v>15</v>
      </c>
      <c r="L674">
        <v>76</v>
      </c>
      <c r="M674">
        <v>160</v>
      </c>
      <c r="N674">
        <v>101</v>
      </c>
      <c r="O674">
        <v>35</v>
      </c>
      <c r="P674" t="s">
        <v>46</v>
      </c>
    </row>
    <row r="675" spans="1:16" x14ac:dyDescent="0.25">
      <c r="A675">
        <v>682</v>
      </c>
      <c r="B675" s="2">
        <v>44049.25</v>
      </c>
      <c r="C675" s="2">
        <v>44049.340277777781</v>
      </c>
      <c r="D675">
        <v>5</v>
      </c>
      <c r="E675" t="s">
        <v>4</v>
      </c>
      <c r="F675" t="s">
        <v>10</v>
      </c>
      <c r="G675" t="s">
        <v>23</v>
      </c>
      <c r="H675">
        <v>65</v>
      </c>
      <c r="I675">
        <v>1.81</v>
      </c>
      <c r="J675">
        <v>0.8</v>
      </c>
      <c r="K675" t="s">
        <v>15</v>
      </c>
      <c r="L675">
        <v>130</v>
      </c>
      <c r="M675">
        <v>163</v>
      </c>
      <c r="N675">
        <v>82</v>
      </c>
      <c r="O675">
        <v>25</v>
      </c>
      <c r="P675" t="s">
        <v>45</v>
      </c>
    </row>
    <row r="676" spans="1:16" x14ac:dyDescent="0.25">
      <c r="A676">
        <v>683</v>
      </c>
      <c r="B676" s="2">
        <v>44034.416666666664</v>
      </c>
      <c r="C676" s="2">
        <v>44049.350694444445</v>
      </c>
      <c r="D676">
        <v>6</v>
      </c>
      <c r="E676" t="s">
        <v>6</v>
      </c>
      <c r="F676" t="s">
        <v>10</v>
      </c>
      <c r="G676" t="s">
        <v>31</v>
      </c>
      <c r="H676">
        <v>61</v>
      </c>
      <c r="I676">
        <v>1.72</v>
      </c>
      <c r="J676">
        <v>0.82</v>
      </c>
      <c r="K676" t="s">
        <v>15</v>
      </c>
      <c r="L676">
        <v>68</v>
      </c>
      <c r="M676">
        <v>179</v>
      </c>
      <c r="N676">
        <v>91</v>
      </c>
      <c r="O676">
        <v>29</v>
      </c>
      <c r="P676" t="s">
        <v>45</v>
      </c>
    </row>
    <row r="677" spans="1:16" x14ac:dyDescent="0.25">
      <c r="A677">
        <v>684</v>
      </c>
      <c r="B677" s="2">
        <v>44009.783333333333</v>
      </c>
      <c r="C677" s="2">
        <v>44049.381944444445</v>
      </c>
      <c r="D677">
        <v>4</v>
      </c>
      <c r="E677" t="s">
        <v>6</v>
      </c>
      <c r="F677" t="s">
        <v>3</v>
      </c>
      <c r="G677" t="s">
        <v>21</v>
      </c>
      <c r="H677">
        <v>78</v>
      </c>
      <c r="I677">
        <v>40.89</v>
      </c>
      <c r="J677">
        <v>17.23</v>
      </c>
      <c r="K677" t="s">
        <v>15</v>
      </c>
      <c r="L677">
        <v>91</v>
      </c>
      <c r="M677">
        <v>171</v>
      </c>
      <c r="N677">
        <v>81</v>
      </c>
      <c r="O677">
        <v>53</v>
      </c>
      <c r="P677" t="s">
        <v>44</v>
      </c>
    </row>
    <row r="678" spans="1:16" x14ac:dyDescent="0.25">
      <c r="A678">
        <v>685</v>
      </c>
      <c r="B678" s="2">
        <v>44049.302083333336</v>
      </c>
      <c r="C678" s="2">
        <v>44049.497916666667</v>
      </c>
      <c r="D678">
        <v>3</v>
      </c>
      <c r="E678" t="s">
        <v>4</v>
      </c>
      <c r="F678" t="s">
        <v>11</v>
      </c>
      <c r="G678" t="s">
        <v>33</v>
      </c>
      <c r="H678">
        <v>77</v>
      </c>
      <c r="I678">
        <v>11.21</v>
      </c>
      <c r="J678">
        <v>2.29</v>
      </c>
      <c r="K678" t="s">
        <v>15</v>
      </c>
      <c r="L678">
        <v>86</v>
      </c>
      <c r="M678">
        <v>151</v>
      </c>
      <c r="N678">
        <v>71</v>
      </c>
      <c r="O678">
        <v>65</v>
      </c>
      <c r="P678" t="s">
        <v>44</v>
      </c>
    </row>
    <row r="679" spans="1:16" x14ac:dyDescent="0.25">
      <c r="A679">
        <v>686</v>
      </c>
      <c r="B679" s="2">
        <v>44042.541666666664</v>
      </c>
      <c r="C679" s="2">
        <v>44049.583333333336</v>
      </c>
      <c r="D679">
        <v>5</v>
      </c>
      <c r="E679" t="s">
        <v>4</v>
      </c>
      <c r="F679" t="s">
        <v>10</v>
      </c>
      <c r="G679" t="s">
        <v>23</v>
      </c>
      <c r="H679">
        <v>52</v>
      </c>
      <c r="I679">
        <v>2.2799999999999998</v>
      </c>
      <c r="J679">
        <v>1.51</v>
      </c>
      <c r="K679" t="s">
        <v>15</v>
      </c>
      <c r="L679">
        <v>76</v>
      </c>
      <c r="M679">
        <v>169</v>
      </c>
      <c r="N679">
        <v>106</v>
      </c>
      <c r="O679">
        <v>47</v>
      </c>
      <c r="P679" t="s">
        <v>46</v>
      </c>
    </row>
    <row r="680" spans="1:16" x14ac:dyDescent="0.25">
      <c r="A680">
        <v>687</v>
      </c>
      <c r="B680" s="2">
        <v>44049.291666666664</v>
      </c>
      <c r="C680" s="2">
        <v>44049.595138888886</v>
      </c>
      <c r="D680">
        <v>6</v>
      </c>
      <c r="E680" t="s">
        <v>4</v>
      </c>
      <c r="F680" t="s">
        <v>10</v>
      </c>
      <c r="G680" t="s">
        <v>31</v>
      </c>
      <c r="H680">
        <v>59</v>
      </c>
      <c r="I680">
        <v>0.88</v>
      </c>
      <c r="J680">
        <v>0.5</v>
      </c>
      <c r="K680" t="s">
        <v>15</v>
      </c>
      <c r="L680">
        <v>93</v>
      </c>
      <c r="M680">
        <v>180</v>
      </c>
      <c r="N680">
        <v>115</v>
      </c>
      <c r="O680">
        <v>73</v>
      </c>
      <c r="P680" t="s">
        <v>44</v>
      </c>
    </row>
    <row r="681" spans="1:16" x14ac:dyDescent="0.25">
      <c r="A681">
        <v>688</v>
      </c>
      <c r="B681" s="2">
        <v>44049.674305555556</v>
      </c>
      <c r="C681" s="2">
        <v>44050.339583333334</v>
      </c>
      <c r="D681">
        <v>5</v>
      </c>
      <c r="E681" t="s">
        <v>6</v>
      </c>
      <c r="F681" t="s">
        <v>10</v>
      </c>
      <c r="G681" t="s">
        <v>27</v>
      </c>
      <c r="H681">
        <v>79</v>
      </c>
      <c r="I681">
        <v>8.6999999999999993</v>
      </c>
      <c r="J681">
        <v>2.46</v>
      </c>
      <c r="K681" t="s">
        <v>15</v>
      </c>
      <c r="L681">
        <v>86</v>
      </c>
      <c r="M681">
        <v>180</v>
      </c>
      <c r="N681">
        <v>80</v>
      </c>
      <c r="O681">
        <v>60</v>
      </c>
      <c r="P681" t="s">
        <v>44</v>
      </c>
    </row>
    <row r="682" spans="1:16" x14ac:dyDescent="0.25">
      <c r="A682">
        <v>689</v>
      </c>
      <c r="B682" s="2">
        <v>44049.673611111109</v>
      </c>
      <c r="C682" s="2">
        <v>44050.34097222222</v>
      </c>
      <c r="D682">
        <v>4</v>
      </c>
      <c r="E682" t="s">
        <v>6</v>
      </c>
      <c r="F682" t="s">
        <v>3</v>
      </c>
      <c r="G682" t="s">
        <v>26</v>
      </c>
      <c r="H682">
        <v>69</v>
      </c>
      <c r="I682">
        <v>3.98</v>
      </c>
      <c r="J682">
        <v>3.16</v>
      </c>
      <c r="K682" t="s">
        <v>15</v>
      </c>
      <c r="L682">
        <v>69</v>
      </c>
      <c r="M682">
        <v>170</v>
      </c>
      <c r="N682">
        <v>90</v>
      </c>
      <c r="O682">
        <v>60</v>
      </c>
      <c r="P682" t="s">
        <v>44</v>
      </c>
    </row>
    <row r="683" spans="1:16" x14ac:dyDescent="0.25">
      <c r="A683">
        <v>690</v>
      </c>
      <c r="B683" s="2">
        <v>44050.291666666664</v>
      </c>
      <c r="C683" s="2">
        <v>44050.55</v>
      </c>
      <c r="D683">
        <v>5</v>
      </c>
      <c r="E683" t="s">
        <v>4</v>
      </c>
      <c r="F683" t="s">
        <v>11</v>
      </c>
      <c r="G683" t="s">
        <v>27</v>
      </c>
      <c r="H683">
        <v>74</v>
      </c>
      <c r="I683">
        <v>3.99</v>
      </c>
      <c r="J683">
        <v>1.42</v>
      </c>
      <c r="K683" t="s">
        <v>15</v>
      </c>
      <c r="L683">
        <v>80</v>
      </c>
      <c r="M683">
        <v>153</v>
      </c>
      <c r="N683">
        <v>58</v>
      </c>
      <c r="O683">
        <v>45</v>
      </c>
      <c r="P683" t="s">
        <v>46</v>
      </c>
    </row>
    <row r="684" spans="1:16" x14ac:dyDescent="0.25">
      <c r="A684">
        <v>691</v>
      </c>
      <c r="B684" s="2">
        <v>44050.313194444447</v>
      </c>
      <c r="C684" s="2">
        <v>44050.613888888889</v>
      </c>
      <c r="D684">
        <v>4</v>
      </c>
      <c r="E684" t="s">
        <v>4</v>
      </c>
      <c r="F684" t="s">
        <v>10</v>
      </c>
      <c r="G684" t="s">
        <v>26</v>
      </c>
      <c r="H684">
        <v>75</v>
      </c>
      <c r="I684">
        <v>2.52</v>
      </c>
      <c r="J684">
        <v>1.1499999999999999</v>
      </c>
      <c r="K684" t="s">
        <v>15</v>
      </c>
      <c r="L684">
        <v>75</v>
      </c>
      <c r="M684">
        <v>152</v>
      </c>
      <c r="N684">
        <v>104</v>
      </c>
      <c r="O684">
        <v>48</v>
      </c>
      <c r="P684" t="s">
        <v>46</v>
      </c>
    </row>
    <row r="685" spans="1:16" x14ac:dyDescent="0.25">
      <c r="A685">
        <v>692</v>
      </c>
      <c r="B685" s="2">
        <v>44050.576388888891</v>
      </c>
      <c r="C685" s="2">
        <v>44051.340277777781</v>
      </c>
      <c r="D685">
        <v>5</v>
      </c>
      <c r="E685" t="s">
        <v>4</v>
      </c>
      <c r="F685" t="s">
        <v>3</v>
      </c>
      <c r="G685" t="s">
        <v>35</v>
      </c>
      <c r="H685">
        <v>41</v>
      </c>
      <c r="I685">
        <v>1.33</v>
      </c>
      <c r="J685">
        <v>0.76</v>
      </c>
      <c r="K685" t="s">
        <v>15</v>
      </c>
      <c r="L685">
        <v>77</v>
      </c>
      <c r="M685">
        <v>193</v>
      </c>
      <c r="N685">
        <v>110</v>
      </c>
      <c r="O685">
        <v>52</v>
      </c>
      <c r="P685" t="s">
        <v>44</v>
      </c>
    </row>
    <row r="686" spans="1:16" x14ac:dyDescent="0.25">
      <c r="A686">
        <v>694</v>
      </c>
      <c r="B686" s="2">
        <v>44050.588194444441</v>
      </c>
      <c r="C686" s="2">
        <v>44051.548611111109</v>
      </c>
      <c r="D686">
        <v>5</v>
      </c>
      <c r="E686" t="s">
        <v>4</v>
      </c>
      <c r="F686" t="s">
        <v>3</v>
      </c>
      <c r="G686" t="s">
        <v>35</v>
      </c>
      <c r="H686">
        <v>71</v>
      </c>
      <c r="I686">
        <v>4.5199999999999996</v>
      </c>
      <c r="J686">
        <v>0.95</v>
      </c>
      <c r="K686" t="s">
        <v>15</v>
      </c>
      <c r="L686">
        <v>95</v>
      </c>
      <c r="M686">
        <v>170</v>
      </c>
      <c r="N686">
        <v>70</v>
      </c>
      <c r="O686">
        <v>55</v>
      </c>
      <c r="P686" t="s">
        <v>44</v>
      </c>
    </row>
    <row r="687" spans="1:16" x14ac:dyDescent="0.25">
      <c r="A687">
        <v>695</v>
      </c>
      <c r="B687" s="2">
        <v>44052.472916666666</v>
      </c>
      <c r="C687" s="2">
        <v>44052.503472222219</v>
      </c>
      <c r="D687">
        <v>1</v>
      </c>
      <c r="E687" t="s">
        <v>2</v>
      </c>
      <c r="F687" t="s">
        <v>1</v>
      </c>
      <c r="G687" t="s">
        <v>31</v>
      </c>
      <c r="H687">
        <v>55</v>
      </c>
      <c r="I687">
        <v>9.0399999999999991</v>
      </c>
      <c r="J687">
        <v>4.8499999999999996</v>
      </c>
      <c r="K687" t="s">
        <v>13</v>
      </c>
      <c r="L687">
        <v>93</v>
      </c>
      <c r="M687">
        <v>169</v>
      </c>
      <c r="N687">
        <v>74</v>
      </c>
      <c r="O687">
        <v>60</v>
      </c>
      <c r="P687" t="s">
        <v>44</v>
      </c>
    </row>
    <row r="688" spans="1:16" x14ac:dyDescent="0.25">
      <c r="A688">
        <v>696</v>
      </c>
      <c r="B688" s="2">
        <v>44052.592361111114</v>
      </c>
      <c r="C688" s="2">
        <v>44053.313194444447</v>
      </c>
      <c r="D688">
        <v>5</v>
      </c>
      <c r="E688" t="s">
        <v>4</v>
      </c>
      <c r="F688" t="s">
        <v>1</v>
      </c>
      <c r="G688" t="s">
        <v>29</v>
      </c>
      <c r="H688">
        <v>71</v>
      </c>
      <c r="I688">
        <v>34.22</v>
      </c>
      <c r="J688">
        <v>10.18</v>
      </c>
      <c r="K688" t="s">
        <v>15</v>
      </c>
      <c r="L688">
        <v>82</v>
      </c>
      <c r="M688">
        <v>168</v>
      </c>
      <c r="N688">
        <v>84</v>
      </c>
      <c r="O688">
        <v>55</v>
      </c>
      <c r="P688" t="s">
        <v>44</v>
      </c>
    </row>
    <row r="689" spans="1:16" x14ac:dyDescent="0.25">
      <c r="A689">
        <v>697</v>
      </c>
      <c r="B689" s="2">
        <v>44052.580555555556</v>
      </c>
      <c r="C689" s="2">
        <v>44053.340277777781</v>
      </c>
      <c r="D689">
        <v>3</v>
      </c>
      <c r="E689" t="s">
        <v>4</v>
      </c>
      <c r="F689" t="s">
        <v>11</v>
      </c>
      <c r="G689" t="s">
        <v>30</v>
      </c>
      <c r="H689">
        <v>79</v>
      </c>
      <c r="I689">
        <v>5.48</v>
      </c>
      <c r="J689">
        <v>2.3199999999999998</v>
      </c>
      <c r="K689" t="s">
        <v>15</v>
      </c>
      <c r="L689">
        <v>74</v>
      </c>
      <c r="M689">
        <v>160</v>
      </c>
      <c r="N689">
        <v>54</v>
      </c>
      <c r="O689">
        <v>50</v>
      </c>
      <c r="P689" t="s">
        <v>46</v>
      </c>
    </row>
    <row r="690" spans="1:16" x14ac:dyDescent="0.25">
      <c r="A690">
        <v>698</v>
      </c>
      <c r="B690" s="2">
        <v>44052.666666666664</v>
      </c>
      <c r="C690" s="2">
        <v>44053.341666666667</v>
      </c>
      <c r="D690">
        <v>4</v>
      </c>
      <c r="E690" t="s">
        <v>4</v>
      </c>
      <c r="F690" t="s">
        <v>11</v>
      </c>
      <c r="G690" t="s">
        <v>32</v>
      </c>
      <c r="H690">
        <v>77</v>
      </c>
      <c r="I690">
        <v>6.59</v>
      </c>
      <c r="J690">
        <v>6.58</v>
      </c>
      <c r="K690" t="s">
        <v>15</v>
      </c>
      <c r="L690">
        <v>65</v>
      </c>
      <c r="M690">
        <v>175</v>
      </c>
      <c r="N690">
        <v>78</v>
      </c>
      <c r="O690">
        <v>55</v>
      </c>
      <c r="P690" t="s">
        <v>44</v>
      </c>
    </row>
    <row r="691" spans="1:16" x14ac:dyDescent="0.25">
      <c r="A691">
        <v>699</v>
      </c>
      <c r="B691" s="2">
        <v>44053.291666666664</v>
      </c>
      <c r="C691" s="2">
        <v>44053.509722222225</v>
      </c>
      <c r="D691">
        <v>4</v>
      </c>
      <c r="E691" t="s">
        <v>4</v>
      </c>
      <c r="F691" t="s">
        <v>3</v>
      </c>
      <c r="G691" t="s">
        <v>32</v>
      </c>
      <c r="H691">
        <v>71</v>
      </c>
      <c r="I691">
        <v>7.81</v>
      </c>
      <c r="J691">
        <v>2.91</v>
      </c>
      <c r="K691" t="s">
        <v>15</v>
      </c>
      <c r="L691">
        <v>76</v>
      </c>
      <c r="M691">
        <v>169</v>
      </c>
      <c r="N691">
        <v>96</v>
      </c>
      <c r="O691">
        <v>60</v>
      </c>
      <c r="P691" t="s">
        <v>44</v>
      </c>
    </row>
    <row r="692" spans="1:16" x14ac:dyDescent="0.25">
      <c r="A692">
        <v>700</v>
      </c>
      <c r="B692" s="2">
        <v>44052.607638888891</v>
      </c>
      <c r="C692" s="2">
        <v>44053.532638888886</v>
      </c>
      <c r="D692">
        <v>2</v>
      </c>
      <c r="E692" t="s">
        <v>4</v>
      </c>
      <c r="F692" t="s">
        <v>1</v>
      </c>
      <c r="G692" t="s">
        <v>23</v>
      </c>
      <c r="H692">
        <v>49</v>
      </c>
      <c r="I692">
        <v>6.9</v>
      </c>
      <c r="J692">
        <v>1.31</v>
      </c>
      <c r="K692" t="s">
        <v>15</v>
      </c>
      <c r="L692">
        <v>81</v>
      </c>
      <c r="M692">
        <v>174</v>
      </c>
      <c r="N692">
        <v>83</v>
      </c>
      <c r="O692">
        <v>40</v>
      </c>
      <c r="P692" t="s">
        <v>46</v>
      </c>
    </row>
    <row r="693" spans="1:16" x14ac:dyDescent="0.25">
      <c r="A693">
        <v>701</v>
      </c>
      <c r="B693" s="2">
        <v>44048.538888888892</v>
      </c>
      <c r="C693" s="2">
        <v>44053.555555555555</v>
      </c>
      <c r="D693">
        <v>3</v>
      </c>
      <c r="E693" t="s">
        <v>6</v>
      </c>
      <c r="F693" t="s">
        <v>10</v>
      </c>
      <c r="G693" t="s">
        <v>30</v>
      </c>
      <c r="H693">
        <v>75</v>
      </c>
      <c r="I693">
        <v>5.84</v>
      </c>
      <c r="J693">
        <v>2.39</v>
      </c>
      <c r="K693" t="s">
        <v>15</v>
      </c>
      <c r="L693">
        <v>77</v>
      </c>
      <c r="M693">
        <v>150</v>
      </c>
      <c r="N693">
        <v>63</v>
      </c>
      <c r="O693">
        <v>55</v>
      </c>
      <c r="P693" t="s">
        <v>44</v>
      </c>
    </row>
    <row r="694" spans="1:16" x14ac:dyDescent="0.25">
      <c r="A694">
        <v>702</v>
      </c>
      <c r="B694" s="2">
        <v>44053.288194444445</v>
      </c>
      <c r="C694" s="2">
        <v>44053.666666666664</v>
      </c>
      <c r="D694">
        <v>5</v>
      </c>
      <c r="E694" t="s">
        <v>4</v>
      </c>
      <c r="F694" t="s">
        <v>10</v>
      </c>
      <c r="G694" t="s">
        <v>29</v>
      </c>
      <c r="H694">
        <v>82</v>
      </c>
      <c r="I694">
        <v>10.76</v>
      </c>
      <c r="J694">
        <v>4.9800000000000004</v>
      </c>
      <c r="K694" t="s">
        <v>15</v>
      </c>
      <c r="L694">
        <v>72</v>
      </c>
      <c r="M694">
        <v>178</v>
      </c>
      <c r="N694">
        <v>63</v>
      </c>
      <c r="O694">
        <v>70</v>
      </c>
      <c r="P694" t="s">
        <v>44</v>
      </c>
    </row>
    <row r="695" spans="1:16" x14ac:dyDescent="0.25">
      <c r="A695">
        <v>703</v>
      </c>
      <c r="B695" s="2">
        <v>44051.511805555558</v>
      </c>
      <c r="C695" s="2">
        <v>44053.669444444444</v>
      </c>
      <c r="D695">
        <v>6</v>
      </c>
      <c r="E695" t="s">
        <v>6</v>
      </c>
      <c r="F695" t="s">
        <v>10</v>
      </c>
      <c r="G695" t="s">
        <v>31</v>
      </c>
      <c r="H695">
        <v>58</v>
      </c>
      <c r="I695">
        <v>1.51</v>
      </c>
      <c r="J695">
        <v>0.89</v>
      </c>
      <c r="K695" t="s">
        <v>15</v>
      </c>
      <c r="L695">
        <v>85</v>
      </c>
      <c r="M695">
        <v>180</v>
      </c>
      <c r="N695">
        <v>125</v>
      </c>
      <c r="O695">
        <v>34</v>
      </c>
      <c r="P695" t="s">
        <v>46</v>
      </c>
    </row>
    <row r="696" spans="1:16" x14ac:dyDescent="0.25">
      <c r="A696">
        <v>704</v>
      </c>
      <c r="B696" s="2">
        <v>44053.734722222223</v>
      </c>
      <c r="C696" s="2">
        <v>44054.328472222223</v>
      </c>
      <c r="D696">
        <v>4</v>
      </c>
      <c r="E696" t="s">
        <v>4</v>
      </c>
      <c r="F696" t="s">
        <v>3</v>
      </c>
      <c r="G696" t="s">
        <v>35</v>
      </c>
      <c r="H696">
        <v>64</v>
      </c>
      <c r="I696">
        <v>2.88</v>
      </c>
      <c r="J696">
        <v>0.94</v>
      </c>
      <c r="K696" t="s">
        <v>15</v>
      </c>
      <c r="L696">
        <v>88</v>
      </c>
      <c r="M696">
        <v>168</v>
      </c>
      <c r="N696">
        <v>81</v>
      </c>
      <c r="O696">
        <v>65</v>
      </c>
      <c r="P696" t="s">
        <v>44</v>
      </c>
    </row>
    <row r="697" spans="1:16" x14ac:dyDescent="0.25">
      <c r="A697">
        <v>705</v>
      </c>
      <c r="B697" s="2">
        <v>44052.458333333336</v>
      </c>
      <c r="C697" s="2">
        <v>44054.331250000003</v>
      </c>
      <c r="D697">
        <v>3</v>
      </c>
      <c r="E697" t="s">
        <v>6</v>
      </c>
      <c r="F697" t="s">
        <v>3</v>
      </c>
      <c r="G697" t="s">
        <v>21</v>
      </c>
      <c r="H697">
        <v>72</v>
      </c>
      <c r="I697">
        <v>5.24</v>
      </c>
      <c r="J697">
        <v>2.29</v>
      </c>
      <c r="K697" t="s">
        <v>15</v>
      </c>
      <c r="L697">
        <v>105</v>
      </c>
      <c r="M697">
        <v>171</v>
      </c>
      <c r="N697">
        <v>80</v>
      </c>
      <c r="O697">
        <v>60</v>
      </c>
      <c r="P697" t="s">
        <v>44</v>
      </c>
    </row>
    <row r="698" spans="1:16" x14ac:dyDescent="0.25">
      <c r="A698">
        <v>706</v>
      </c>
      <c r="B698" s="2">
        <v>44036.411805555559</v>
      </c>
      <c r="C698" s="2">
        <v>44054.333333333336</v>
      </c>
      <c r="D698">
        <v>5</v>
      </c>
      <c r="E698" t="s">
        <v>6</v>
      </c>
      <c r="F698" t="s">
        <v>3</v>
      </c>
      <c r="G698" t="s">
        <v>28</v>
      </c>
      <c r="H698">
        <v>40</v>
      </c>
      <c r="I698">
        <v>4.4000000000000004</v>
      </c>
      <c r="J698">
        <v>1.27</v>
      </c>
      <c r="K698" t="s">
        <v>15</v>
      </c>
      <c r="L698">
        <v>103</v>
      </c>
      <c r="M698">
        <v>164</v>
      </c>
      <c r="N698">
        <v>50</v>
      </c>
      <c r="O698">
        <v>24</v>
      </c>
      <c r="P698" t="s">
        <v>45</v>
      </c>
    </row>
    <row r="699" spans="1:16" x14ac:dyDescent="0.25">
      <c r="A699">
        <v>707</v>
      </c>
      <c r="B699" s="2">
        <v>44053.670138888891</v>
      </c>
      <c r="C699" s="2">
        <v>44054.340277777781</v>
      </c>
      <c r="D699">
        <v>2</v>
      </c>
      <c r="E699" t="s">
        <v>4</v>
      </c>
      <c r="F699" t="s">
        <v>3</v>
      </c>
      <c r="G699" t="s">
        <v>26</v>
      </c>
      <c r="H699">
        <v>66</v>
      </c>
      <c r="I699">
        <v>2.38</v>
      </c>
      <c r="J699">
        <v>0.8</v>
      </c>
      <c r="K699" t="s">
        <v>15</v>
      </c>
      <c r="L699">
        <v>162</v>
      </c>
      <c r="M699">
        <v>170</v>
      </c>
      <c r="N699">
        <v>60</v>
      </c>
      <c r="O699">
        <v>65</v>
      </c>
      <c r="P699" t="s">
        <v>44</v>
      </c>
    </row>
    <row r="700" spans="1:16" x14ac:dyDescent="0.25">
      <c r="A700">
        <v>708</v>
      </c>
      <c r="B700" s="2">
        <v>44054.333333333336</v>
      </c>
      <c r="C700" s="2">
        <v>44054.522916666669</v>
      </c>
      <c r="D700">
        <v>2</v>
      </c>
      <c r="E700" t="s">
        <v>4</v>
      </c>
      <c r="F700" t="s">
        <v>11</v>
      </c>
      <c r="G700" t="s">
        <v>26</v>
      </c>
      <c r="H700">
        <v>61</v>
      </c>
      <c r="I700">
        <v>1.72</v>
      </c>
      <c r="J700">
        <v>1.48</v>
      </c>
      <c r="K700" t="s">
        <v>15</v>
      </c>
      <c r="L700">
        <v>85</v>
      </c>
      <c r="M700">
        <v>166</v>
      </c>
      <c r="N700">
        <v>94</v>
      </c>
      <c r="O700">
        <v>40</v>
      </c>
      <c r="P700" t="s">
        <v>46</v>
      </c>
    </row>
    <row r="701" spans="1:16" x14ac:dyDescent="0.25">
      <c r="A701">
        <v>709</v>
      </c>
      <c r="B701" s="2">
        <v>44041.458333333336</v>
      </c>
      <c r="C701" s="2">
        <v>44054.569444444445</v>
      </c>
      <c r="D701">
        <v>4</v>
      </c>
      <c r="E701" t="s">
        <v>4</v>
      </c>
      <c r="F701" t="s">
        <v>3</v>
      </c>
      <c r="G701" t="s">
        <v>35</v>
      </c>
      <c r="H701">
        <v>77</v>
      </c>
      <c r="I701">
        <v>3.94</v>
      </c>
      <c r="J701">
        <v>3.12</v>
      </c>
      <c r="K701" t="s">
        <v>15</v>
      </c>
      <c r="L701">
        <v>111</v>
      </c>
      <c r="M701">
        <v>174</v>
      </c>
      <c r="N701">
        <v>84</v>
      </c>
      <c r="O701">
        <v>55</v>
      </c>
      <c r="P701" t="s">
        <v>44</v>
      </c>
    </row>
    <row r="702" spans="1:16" x14ac:dyDescent="0.25">
      <c r="A702">
        <v>710</v>
      </c>
      <c r="B702" s="2">
        <v>44054.299305555556</v>
      </c>
      <c r="C702" s="2">
        <v>44054.59375</v>
      </c>
      <c r="D702">
        <v>1</v>
      </c>
      <c r="E702" t="s">
        <v>4</v>
      </c>
      <c r="F702" t="s">
        <v>3</v>
      </c>
      <c r="G702" t="s">
        <v>28</v>
      </c>
      <c r="H702">
        <v>77</v>
      </c>
      <c r="I702">
        <v>9.69</v>
      </c>
      <c r="J702">
        <v>3.54</v>
      </c>
      <c r="K702" t="s">
        <v>15</v>
      </c>
      <c r="L702">
        <v>91</v>
      </c>
      <c r="M702">
        <v>165</v>
      </c>
      <c r="N702">
        <v>100</v>
      </c>
      <c r="O702">
        <v>59</v>
      </c>
      <c r="P702" t="s">
        <v>44</v>
      </c>
    </row>
    <row r="703" spans="1:16" x14ac:dyDescent="0.25">
      <c r="A703">
        <v>711</v>
      </c>
      <c r="B703" s="2">
        <v>44054.397222222222</v>
      </c>
      <c r="C703" s="2">
        <v>44054.602777777778</v>
      </c>
      <c r="D703">
        <v>5</v>
      </c>
      <c r="E703" t="s">
        <v>2</v>
      </c>
      <c r="F703" t="s">
        <v>10</v>
      </c>
      <c r="G703" t="s">
        <v>24</v>
      </c>
      <c r="H703">
        <v>60</v>
      </c>
      <c r="I703">
        <v>7.3</v>
      </c>
      <c r="J703">
        <v>5.26</v>
      </c>
      <c r="K703" t="s">
        <v>15</v>
      </c>
      <c r="L703">
        <v>90</v>
      </c>
      <c r="M703">
        <v>171</v>
      </c>
      <c r="N703">
        <v>80</v>
      </c>
      <c r="O703">
        <v>51</v>
      </c>
      <c r="P703" t="s">
        <v>44</v>
      </c>
    </row>
    <row r="704" spans="1:16" x14ac:dyDescent="0.25">
      <c r="A704">
        <v>712</v>
      </c>
      <c r="B704" s="2">
        <v>44054.629166666666</v>
      </c>
      <c r="C704" s="2">
        <v>44055.34375</v>
      </c>
      <c r="D704">
        <v>4</v>
      </c>
      <c r="E704" t="s">
        <v>4</v>
      </c>
      <c r="F704" t="s">
        <v>11</v>
      </c>
      <c r="G704" t="s">
        <v>24</v>
      </c>
      <c r="H704">
        <v>72</v>
      </c>
      <c r="I704">
        <v>3.51</v>
      </c>
      <c r="J704">
        <v>2.37</v>
      </c>
      <c r="K704" t="s">
        <v>15</v>
      </c>
      <c r="L704">
        <v>73</v>
      </c>
      <c r="M704">
        <v>180</v>
      </c>
      <c r="N704">
        <v>95</v>
      </c>
      <c r="O704">
        <v>59</v>
      </c>
      <c r="P704" t="s">
        <v>44</v>
      </c>
    </row>
    <row r="705" spans="1:16" x14ac:dyDescent="0.25">
      <c r="A705">
        <v>713</v>
      </c>
      <c r="B705" s="2">
        <v>44054.666666666664</v>
      </c>
      <c r="C705" s="2">
        <v>44055.344444444447</v>
      </c>
      <c r="D705">
        <v>1</v>
      </c>
      <c r="E705" t="s">
        <v>4</v>
      </c>
      <c r="F705" t="s">
        <v>3</v>
      </c>
      <c r="G705" t="s">
        <v>32</v>
      </c>
      <c r="H705">
        <v>75</v>
      </c>
      <c r="I705">
        <v>8.59</v>
      </c>
      <c r="J705">
        <v>3.72</v>
      </c>
      <c r="K705" t="s">
        <v>15</v>
      </c>
      <c r="L705">
        <v>16.100000000000001</v>
      </c>
      <c r="M705">
        <v>173</v>
      </c>
      <c r="N705">
        <v>83</v>
      </c>
      <c r="O705">
        <v>60</v>
      </c>
      <c r="P705" t="s">
        <v>44</v>
      </c>
    </row>
    <row r="706" spans="1:16" x14ac:dyDescent="0.25">
      <c r="A706">
        <v>714</v>
      </c>
      <c r="B706" s="2">
        <v>44053.465277777781</v>
      </c>
      <c r="C706" s="2">
        <v>44055.345138888886</v>
      </c>
      <c r="D706">
        <v>2</v>
      </c>
      <c r="E706" t="s">
        <v>6</v>
      </c>
      <c r="F706" t="s">
        <v>10</v>
      </c>
      <c r="G706" t="s">
        <v>31</v>
      </c>
      <c r="H706">
        <v>70</v>
      </c>
      <c r="I706">
        <v>3.09</v>
      </c>
      <c r="J706">
        <v>1.06</v>
      </c>
      <c r="K706" t="s">
        <v>15</v>
      </c>
      <c r="L706">
        <v>64</v>
      </c>
      <c r="M706">
        <v>172</v>
      </c>
      <c r="N706">
        <v>71</v>
      </c>
      <c r="O706">
        <v>55</v>
      </c>
      <c r="P706" t="s">
        <v>44</v>
      </c>
    </row>
    <row r="707" spans="1:16" x14ac:dyDescent="0.25">
      <c r="A707">
        <v>715</v>
      </c>
      <c r="B707" s="2">
        <v>44054.659722222219</v>
      </c>
      <c r="C707" s="2">
        <v>44055.349305555559</v>
      </c>
      <c r="D707">
        <v>5</v>
      </c>
      <c r="E707" t="s">
        <v>4</v>
      </c>
      <c r="F707" t="s">
        <v>3</v>
      </c>
      <c r="G707" t="s">
        <v>28</v>
      </c>
      <c r="H707">
        <v>73</v>
      </c>
      <c r="I707">
        <v>3.74</v>
      </c>
      <c r="J707">
        <v>0.73</v>
      </c>
      <c r="K707" t="s">
        <v>15</v>
      </c>
      <c r="L707">
        <v>101</v>
      </c>
      <c r="M707">
        <v>177</v>
      </c>
      <c r="N707">
        <v>84</v>
      </c>
      <c r="O707">
        <v>55</v>
      </c>
      <c r="P707" t="s">
        <v>44</v>
      </c>
    </row>
    <row r="708" spans="1:16" x14ac:dyDescent="0.25">
      <c r="A708">
        <v>716</v>
      </c>
      <c r="B708" s="2">
        <v>44055.293055555558</v>
      </c>
      <c r="C708" s="2">
        <v>44055.470833333333</v>
      </c>
      <c r="D708">
        <v>1</v>
      </c>
      <c r="E708" t="s">
        <v>4</v>
      </c>
      <c r="F708" t="s">
        <v>11</v>
      </c>
      <c r="G708" t="s">
        <v>32</v>
      </c>
      <c r="H708">
        <v>70</v>
      </c>
      <c r="I708">
        <v>4.24</v>
      </c>
      <c r="J708">
        <v>2.56</v>
      </c>
      <c r="K708" t="s">
        <v>15</v>
      </c>
      <c r="L708">
        <v>111</v>
      </c>
      <c r="M708">
        <v>174</v>
      </c>
      <c r="N708">
        <v>85</v>
      </c>
      <c r="O708">
        <v>40</v>
      </c>
      <c r="P708" t="s">
        <v>46</v>
      </c>
    </row>
    <row r="709" spans="1:16" x14ac:dyDescent="0.25">
      <c r="A709">
        <v>717</v>
      </c>
      <c r="B709" s="2">
        <v>44055.29583333333</v>
      </c>
      <c r="C709" s="2">
        <v>44055.569444444445</v>
      </c>
      <c r="D709">
        <v>2</v>
      </c>
      <c r="E709" t="s">
        <v>4</v>
      </c>
      <c r="F709" t="s">
        <v>3</v>
      </c>
      <c r="G709" t="s">
        <v>31</v>
      </c>
      <c r="H709">
        <v>47</v>
      </c>
      <c r="I709">
        <v>1.51</v>
      </c>
      <c r="J709">
        <v>0.56000000000000005</v>
      </c>
      <c r="K709" t="s">
        <v>15</v>
      </c>
      <c r="L709">
        <v>82</v>
      </c>
      <c r="M709">
        <v>166</v>
      </c>
      <c r="N709">
        <v>94</v>
      </c>
      <c r="O709">
        <v>58</v>
      </c>
      <c r="P709" t="s">
        <v>44</v>
      </c>
    </row>
    <row r="710" spans="1:16" x14ac:dyDescent="0.25">
      <c r="A710">
        <v>718</v>
      </c>
      <c r="B710" s="2">
        <v>44054.34097222222</v>
      </c>
      <c r="C710" s="2">
        <v>44055.902777777781</v>
      </c>
      <c r="D710">
        <v>4</v>
      </c>
      <c r="E710" t="s">
        <v>2</v>
      </c>
      <c r="F710" t="s">
        <v>11</v>
      </c>
      <c r="G710" t="s">
        <v>28</v>
      </c>
      <c r="H710">
        <v>75</v>
      </c>
      <c r="I710">
        <v>89.79</v>
      </c>
      <c r="J710">
        <v>43.03</v>
      </c>
      <c r="K710" t="s">
        <v>13</v>
      </c>
      <c r="L710">
        <v>125</v>
      </c>
      <c r="M710">
        <v>157</v>
      </c>
      <c r="N710">
        <v>56</v>
      </c>
      <c r="O710">
        <v>60</v>
      </c>
      <c r="P710" t="s">
        <v>44</v>
      </c>
    </row>
    <row r="711" spans="1:16" x14ac:dyDescent="0.25">
      <c r="A711">
        <v>719</v>
      </c>
      <c r="B711" s="2">
        <v>44054.550694444442</v>
      </c>
      <c r="C711" s="2">
        <v>44056.332638888889</v>
      </c>
      <c r="D711">
        <v>2</v>
      </c>
      <c r="E711" t="s">
        <v>6</v>
      </c>
      <c r="F711" t="s">
        <v>10</v>
      </c>
      <c r="G711" t="s">
        <v>24</v>
      </c>
      <c r="H711">
        <v>74</v>
      </c>
      <c r="I711">
        <v>5.48</v>
      </c>
      <c r="J711">
        <v>2.04</v>
      </c>
      <c r="K711" t="s">
        <v>15</v>
      </c>
      <c r="L711">
        <v>123</v>
      </c>
      <c r="M711">
        <v>180</v>
      </c>
      <c r="N711">
        <v>109</v>
      </c>
      <c r="O711">
        <v>31</v>
      </c>
      <c r="P711" t="s">
        <v>46</v>
      </c>
    </row>
    <row r="712" spans="1:16" x14ac:dyDescent="0.25">
      <c r="A712">
        <v>720</v>
      </c>
      <c r="B712" s="2">
        <v>44054.296527777777</v>
      </c>
      <c r="C712" s="2">
        <v>44056.340277777781</v>
      </c>
      <c r="D712">
        <v>4</v>
      </c>
      <c r="E712" t="s">
        <v>4</v>
      </c>
      <c r="F712" t="s">
        <v>10</v>
      </c>
      <c r="G712" t="s">
        <v>21</v>
      </c>
      <c r="H712">
        <v>71</v>
      </c>
      <c r="I712">
        <v>1.94</v>
      </c>
      <c r="J712">
        <v>0.76</v>
      </c>
      <c r="K712" t="s">
        <v>15</v>
      </c>
      <c r="L712">
        <v>108</v>
      </c>
      <c r="M712">
        <v>184</v>
      </c>
      <c r="N712">
        <v>95</v>
      </c>
      <c r="O712">
        <v>55</v>
      </c>
      <c r="P712" t="s">
        <v>44</v>
      </c>
    </row>
    <row r="713" spans="1:16" x14ac:dyDescent="0.25">
      <c r="A713">
        <v>721</v>
      </c>
      <c r="B713" s="2">
        <v>44052.666666666664</v>
      </c>
      <c r="C713" s="2">
        <v>44056.342361111114</v>
      </c>
      <c r="D713">
        <v>5</v>
      </c>
      <c r="E713" t="s">
        <v>4</v>
      </c>
      <c r="F713" t="s">
        <v>3</v>
      </c>
      <c r="G713" t="s">
        <v>32</v>
      </c>
      <c r="H713">
        <v>78</v>
      </c>
      <c r="I713">
        <v>5.14</v>
      </c>
      <c r="J713">
        <v>2.17</v>
      </c>
      <c r="K713" t="s">
        <v>15</v>
      </c>
      <c r="L713">
        <v>78</v>
      </c>
      <c r="M713">
        <v>171</v>
      </c>
      <c r="N713">
        <v>98</v>
      </c>
      <c r="O713">
        <v>55</v>
      </c>
      <c r="P713" t="s">
        <v>44</v>
      </c>
    </row>
    <row r="714" spans="1:16" x14ac:dyDescent="0.25">
      <c r="A714">
        <v>722</v>
      </c>
      <c r="B714" s="2">
        <v>44056.293749999997</v>
      </c>
      <c r="C714" s="2">
        <v>44056.481944444444</v>
      </c>
      <c r="D714">
        <v>5</v>
      </c>
      <c r="E714" t="s">
        <v>4</v>
      </c>
      <c r="F714" t="s">
        <v>3</v>
      </c>
      <c r="G714" t="s">
        <v>32</v>
      </c>
      <c r="H714">
        <v>77</v>
      </c>
      <c r="I714">
        <v>7.67</v>
      </c>
      <c r="J714">
        <v>3.84</v>
      </c>
      <c r="K714" t="s">
        <v>15</v>
      </c>
      <c r="L714">
        <v>87</v>
      </c>
      <c r="M714">
        <v>153</v>
      </c>
      <c r="N714">
        <v>86</v>
      </c>
      <c r="O714">
        <v>55</v>
      </c>
      <c r="P714" t="s">
        <v>44</v>
      </c>
    </row>
    <row r="715" spans="1:16" x14ac:dyDescent="0.25">
      <c r="A715">
        <v>723</v>
      </c>
      <c r="B715" s="2">
        <v>44054.666666666664</v>
      </c>
      <c r="C715" s="2">
        <v>44057.34375</v>
      </c>
      <c r="D715">
        <v>5</v>
      </c>
      <c r="E715" t="s">
        <v>4</v>
      </c>
      <c r="F715" t="s">
        <v>3</v>
      </c>
      <c r="G715" t="s">
        <v>24</v>
      </c>
      <c r="H715">
        <v>74</v>
      </c>
      <c r="I715">
        <v>3.99</v>
      </c>
      <c r="J715">
        <v>1</v>
      </c>
      <c r="K715" t="s">
        <v>15</v>
      </c>
      <c r="L715">
        <v>87</v>
      </c>
      <c r="M715">
        <v>175</v>
      </c>
      <c r="N715">
        <v>106</v>
      </c>
      <c r="O715">
        <v>55</v>
      </c>
      <c r="P715" t="s">
        <v>44</v>
      </c>
    </row>
    <row r="716" spans="1:16" x14ac:dyDescent="0.25">
      <c r="A716">
        <v>724</v>
      </c>
      <c r="B716" s="2">
        <v>44056.648611111108</v>
      </c>
      <c r="C716" s="2">
        <v>44057.347222222219</v>
      </c>
      <c r="D716">
        <v>4</v>
      </c>
      <c r="E716" t="s">
        <v>4</v>
      </c>
      <c r="F716" t="s">
        <v>3</v>
      </c>
      <c r="G716" t="s">
        <v>21</v>
      </c>
      <c r="H716">
        <v>72</v>
      </c>
      <c r="I716">
        <v>4.8099999999999996</v>
      </c>
      <c r="J716">
        <v>2.0099999999999998</v>
      </c>
      <c r="K716" t="s">
        <v>15</v>
      </c>
      <c r="L716">
        <v>75</v>
      </c>
      <c r="M716">
        <v>165</v>
      </c>
      <c r="N716">
        <v>52</v>
      </c>
      <c r="O716">
        <v>55</v>
      </c>
      <c r="P716" t="s">
        <v>44</v>
      </c>
    </row>
    <row r="717" spans="1:16" x14ac:dyDescent="0.25">
      <c r="A717">
        <v>725</v>
      </c>
      <c r="B717" s="2">
        <v>44056.292361111111</v>
      </c>
      <c r="C717" s="2">
        <v>44057.512499999997</v>
      </c>
      <c r="D717">
        <v>5</v>
      </c>
      <c r="E717" t="s">
        <v>4</v>
      </c>
      <c r="F717" t="s">
        <v>10</v>
      </c>
      <c r="G717" t="s">
        <v>24</v>
      </c>
      <c r="H717">
        <v>80</v>
      </c>
      <c r="I717">
        <v>4.7699999999999996</v>
      </c>
      <c r="J717">
        <v>1.22</v>
      </c>
      <c r="K717" t="s">
        <v>15</v>
      </c>
      <c r="L717">
        <v>78</v>
      </c>
      <c r="M717">
        <v>174</v>
      </c>
      <c r="N717">
        <v>100</v>
      </c>
      <c r="O717">
        <v>65</v>
      </c>
      <c r="P717" t="s">
        <v>44</v>
      </c>
    </row>
    <row r="718" spans="1:16" x14ac:dyDescent="0.25">
      <c r="A718">
        <v>726</v>
      </c>
      <c r="B718" s="2">
        <v>44056.296527777777</v>
      </c>
      <c r="C718" s="2">
        <v>44057.54583333333</v>
      </c>
      <c r="D718">
        <v>4</v>
      </c>
      <c r="E718" t="s">
        <v>4</v>
      </c>
      <c r="F718" t="s">
        <v>3</v>
      </c>
      <c r="G718" t="s">
        <v>21</v>
      </c>
      <c r="H718">
        <v>73</v>
      </c>
      <c r="I718">
        <v>7.6</v>
      </c>
      <c r="J718">
        <v>4.71</v>
      </c>
      <c r="K718" t="s">
        <v>15</v>
      </c>
      <c r="L718">
        <v>76</v>
      </c>
      <c r="M718">
        <v>183</v>
      </c>
      <c r="N718">
        <v>94</v>
      </c>
      <c r="O718">
        <v>45</v>
      </c>
      <c r="P718" t="s">
        <v>46</v>
      </c>
    </row>
    <row r="719" spans="1:16" x14ac:dyDescent="0.25">
      <c r="A719">
        <v>727</v>
      </c>
      <c r="B719" s="2">
        <v>44057.583333333336</v>
      </c>
      <c r="C719" s="2">
        <v>44058.333333333336</v>
      </c>
      <c r="D719">
        <v>5</v>
      </c>
      <c r="E719" t="s">
        <v>4</v>
      </c>
      <c r="F719" t="s">
        <v>11</v>
      </c>
      <c r="G719" t="s">
        <v>23</v>
      </c>
      <c r="H719">
        <v>74</v>
      </c>
      <c r="I719">
        <v>3.99</v>
      </c>
      <c r="J719">
        <v>2.2200000000000002</v>
      </c>
      <c r="K719" t="s">
        <v>15</v>
      </c>
      <c r="L719">
        <v>64</v>
      </c>
      <c r="M719">
        <v>184</v>
      </c>
      <c r="N719">
        <v>85</v>
      </c>
      <c r="O719">
        <v>40</v>
      </c>
      <c r="P719" t="s">
        <v>46</v>
      </c>
    </row>
    <row r="720" spans="1:16" x14ac:dyDescent="0.25">
      <c r="A720">
        <v>728</v>
      </c>
      <c r="B720" s="2">
        <v>44057.429166666669</v>
      </c>
      <c r="C720" s="2">
        <v>44058.341666666667</v>
      </c>
      <c r="D720">
        <v>4</v>
      </c>
      <c r="E720" t="s">
        <v>4</v>
      </c>
      <c r="F720" t="s">
        <v>3</v>
      </c>
      <c r="G720" t="s">
        <v>33</v>
      </c>
      <c r="H720">
        <v>76</v>
      </c>
      <c r="I720">
        <v>6.19</v>
      </c>
      <c r="J720">
        <v>4.3600000000000003</v>
      </c>
      <c r="K720" t="s">
        <v>15</v>
      </c>
      <c r="L720">
        <v>86</v>
      </c>
      <c r="M720">
        <v>185</v>
      </c>
      <c r="N720">
        <v>118</v>
      </c>
      <c r="O720">
        <v>60</v>
      </c>
      <c r="P720" t="s">
        <v>44</v>
      </c>
    </row>
    <row r="721" spans="1:16" x14ac:dyDescent="0.25">
      <c r="A721">
        <v>729</v>
      </c>
      <c r="B721" s="2">
        <v>44057.661111111112</v>
      </c>
      <c r="C721" s="2">
        <v>44058.461805555555</v>
      </c>
      <c r="D721">
        <v>4</v>
      </c>
      <c r="E721" t="s">
        <v>4</v>
      </c>
      <c r="F721" t="s">
        <v>3</v>
      </c>
      <c r="G721" t="s">
        <v>32</v>
      </c>
      <c r="H721">
        <v>83</v>
      </c>
      <c r="I721">
        <v>9.52</v>
      </c>
      <c r="J721">
        <v>2.16</v>
      </c>
      <c r="K721" t="s">
        <v>15</v>
      </c>
      <c r="L721">
        <v>83</v>
      </c>
      <c r="M721">
        <v>162</v>
      </c>
      <c r="N721">
        <v>66</v>
      </c>
      <c r="O721">
        <v>40</v>
      </c>
      <c r="P721" t="s">
        <v>46</v>
      </c>
    </row>
    <row r="722" spans="1:16" x14ac:dyDescent="0.25">
      <c r="A722">
        <v>730</v>
      </c>
      <c r="B722" s="2">
        <v>44057.578472222223</v>
      </c>
      <c r="C722" s="2">
        <v>44058.520833333336</v>
      </c>
      <c r="D722">
        <v>5</v>
      </c>
      <c r="E722" t="s">
        <v>4</v>
      </c>
      <c r="F722" t="s">
        <v>1</v>
      </c>
      <c r="G722" t="s">
        <v>23</v>
      </c>
      <c r="H722">
        <v>71</v>
      </c>
      <c r="I722">
        <v>13.11</v>
      </c>
      <c r="J722">
        <v>4.16</v>
      </c>
      <c r="K722" t="s">
        <v>15</v>
      </c>
      <c r="L722">
        <v>77</v>
      </c>
      <c r="M722">
        <v>169</v>
      </c>
      <c r="N722">
        <v>95</v>
      </c>
      <c r="O722">
        <v>65</v>
      </c>
      <c r="P722" t="s">
        <v>44</v>
      </c>
    </row>
    <row r="723" spans="1:16" x14ac:dyDescent="0.25">
      <c r="A723">
        <v>731</v>
      </c>
      <c r="B723" s="2">
        <v>44058.677777777775</v>
      </c>
      <c r="C723" s="2">
        <v>44059.390972222223</v>
      </c>
      <c r="D723">
        <v>2</v>
      </c>
      <c r="E723" t="s">
        <v>2</v>
      </c>
      <c r="F723" t="s">
        <v>11</v>
      </c>
      <c r="G723" t="s">
        <v>23</v>
      </c>
      <c r="H723">
        <v>83</v>
      </c>
      <c r="I723">
        <v>50.05</v>
      </c>
      <c r="J723">
        <v>25.98</v>
      </c>
      <c r="K723" t="s">
        <v>15</v>
      </c>
      <c r="L723">
        <v>63</v>
      </c>
      <c r="M723">
        <v>170</v>
      </c>
      <c r="N723">
        <v>80</v>
      </c>
      <c r="O723">
        <v>20</v>
      </c>
      <c r="P723" t="s">
        <v>47</v>
      </c>
    </row>
    <row r="724" spans="1:16" x14ac:dyDescent="0.25">
      <c r="A724">
        <v>732</v>
      </c>
      <c r="B724" s="2">
        <v>44059.666666666664</v>
      </c>
      <c r="C724" s="2">
        <v>44060.333333333336</v>
      </c>
      <c r="D724">
        <v>2</v>
      </c>
      <c r="E724" t="s">
        <v>4</v>
      </c>
      <c r="F724" t="s">
        <v>11</v>
      </c>
      <c r="G724" t="s">
        <v>27</v>
      </c>
      <c r="H724">
        <v>72</v>
      </c>
      <c r="I724">
        <v>3.51</v>
      </c>
      <c r="J724">
        <v>1.35</v>
      </c>
      <c r="K724" t="s">
        <v>15</v>
      </c>
      <c r="L724">
        <v>73</v>
      </c>
      <c r="M724">
        <v>190</v>
      </c>
      <c r="N724">
        <v>138</v>
      </c>
      <c r="O724">
        <v>51</v>
      </c>
      <c r="P724" t="s">
        <v>44</v>
      </c>
    </row>
    <row r="725" spans="1:16" x14ac:dyDescent="0.25">
      <c r="A725">
        <v>733</v>
      </c>
      <c r="B725" s="2">
        <v>44055.645833333336</v>
      </c>
      <c r="C725" s="2">
        <v>44060.336805555555</v>
      </c>
      <c r="D725">
        <v>4</v>
      </c>
      <c r="E725" t="s">
        <v>4</v>
      </c>
      <c r="F725" t="s">
        <v>3</v>
      </c>
      <c r="G725" t="s">
        <v>32</v>
      </c>
      <c r="H725">
        <v>61</v>
      </c>
      <c r="I725">
        <v>2.37</v>
      </c>
      <c r="J725">
        <v>1.23</v>
      </c>
      <c r="K725" t="s">
        <v>15</v>
      </c>
      <c r="L725">
        <v>63</v>
      </c>
      <c r="M725">
        <v>170</v>
      </c>
      <c r="N725">
        <v>81</v>
      </c>
      <c r="O725">
        <v>57</v>
      </c>
      <c r="P725" t="s">
        <v>44</v>
      </c>
    </row>
    <row r="726" spans="1:16" x14ac:dyDescent="0.25">
      <c r="A726">
        <v>734</v>
      </c>
      <c r="B726" s="2">
        <v>44059.448611111111</v>
      </c>
      <c r="C726" s="2">
        <v>44060.338194444441</v>
      </c>
      <c r="D726">
        <v>5</v>
      </c>
      <c r="E726" t="s">
        <v>4</v>
      </c>
      <c r="F726" t="s">
        <v>10</v>
      </c>
      <c r="G726" t="s">
        <v>24</v>
      </c>
      <c r="H726">
        <v>78</v>
      </c>
      <c r="I726">
        <v>15.36</v>
      </c>
      <c r="J726">
        <v>5.24</v>
      </c>
      <c r="K726" t="s">
        <v>15</v>
      </c>
      <c r="L726">
        <v>67</v>
      </c>
      <c r="M726">
        <v>186</v>
      </c>
      <c r="N726">
        <v>82</v>
      </c>
      <c r="O726">
        <v>50</v>
      </c>
      <c r="P726" t="s">
        <v>46</v>
      </c>
    </row>
    <row r="727" spans="1:16" x14ac:dyDescent="0.25">
      <c r="A727">
        <v>735</v>
      </c>
      <c r="B727" s="2">
        <v>44059.666666666664</v>
      </c>
      <c r="C727" s="2">
        <v>44060.339583333334</v>
      </c>
      <c r="D727">
        <v>3</v>
      </c>
      <c r="E727" t="s">
        <v>4</v>
      </c>
      <c r="F727" t="s">
        <v>3</v>
      </c>
      <c r="G727" t="s">
        <v>30</v>
      </c>
      <c r="H727">
        <v>71</v>
      </c>
      <c r="I727">
        <v>3.29</v>
      </c>
      <c r="J727">
        <v>0.76</v>
      </c>
      <c r="K727" t="s">
        <v>15</v>
      </c>
      <c r="L727">
        <v>89</v>
      </c>
      <c r="M727">
        <v>174</v>
      </c>
      <c r="N727">
        <v>76</v>
      </c>
      <c r="O727">
        <v>55</v>
      </c>
      <c r="P727" t="s">
        <v>44</v>
      </c>
    </row>
    <row r="728" spans="1:16" x14ac:dyDescent="0.25">
      <c r="A728">
        <v>736</v>
      </c>
      <c r="B728" s="2">
        <v>44059.625</v>
      </c>
      <c r="C728" s="2">
        <v>44060.45</v>
      </c>
      <c r="D728">
        <v>6</v>
      </c>
      <c r="E728" t="s">
        <v>4</v>
      </c>
      <c r="F728" t="s">
        <v>1</v>
      </c>
      <c r="G728" t="s">
        <v>23</v>
      </c>
      <c r="H728">
        <v>53</v>
      </c>
      <c r="I728">
        <v>4.6500000000000004</v>
      </c>
      <c r="J728">
        <v>0.96</v>
      </c>
      <c r="K728" t="s">
        <v>15</v>
      </c>
      <c r="L728">
        <v>73</v>
      </c>
      <c r="M728">
        <v>171</v>
      </c>
      <c r="N728">
        <v>86</v>
      </c>
      <c r="O728">
        <v>49</v>
      </c>
      <c r="P728" t="s">
        <v>46</v>
      </c>
    </row>
    <row r="729" spans="1:16" x14ac:dyDescent="0.25">
      <c r="A729">
        <v>737</v>
      </c>
      <c r="B729" s="2">
        <v>44054.460416666669</v>
      </c>
      <c r="C729" s="2">
        <v>44060.484027777777</v>
      </c>
      <c r="D729">
        <v>3</v>
      </c>
      <c r="E729" t="s">
        <v>6</v>
      </c>
      <c r="F729" t="s">
        <v>11</v>
      </c>
      <c r="G729" t="s">
        <v>30</v>
      </c>
      <c r="H729">
        <v>68</v>
      </c>
      <c r="I729">
        <v>6.81</v>
      </c>
      <c r="J729">
        <v>3.12</v>
      </c>
      <c r="K729" t="s">
        <v>15</v>
      </c>
      <c r="L729">
        <v>81</v>
      </c>
      <c r="M729">
        <v>160</v>
      </c>
      <c r="N729">
        <v>71</v>
      </c>
      <c r="O729">
        <v>47</v>
      </c>
      <c r="P729" t="s">
        <v>46</v>
      </c>
    </row>
    <row r="730" spans="1:16" x14ac:dyDescent="0.25">
      <c r="A730">
        <v>738</v>
      </c>
      <c r="B730" s="2">
        <v>44060.291666666664</v>
      </c>
      <c r="C730" s="2">
        <v>44060.530555555553</v>
      </c>
      <c r="D730">
        <v>4</v>
      </c>
      <c r="E730" t="s">
        <v>4</v>
      </c>
      <c r="F730" t="s">
        <v>11</v>
      </c>
      <c r="G730" t="s">
        <v>32</v>
      </c>
      <c r="H730">
        <v>76</v>
      </c>
      <c r="I730">
        <v>11.29</v>
      </c>
      <c r="J730">
        <v>4.43</v>
      </c>
      <c r="K730" t="s">
        <v>15</v>
      </c>
      <c r="L730">
        <v>106</v>
      </c>
      <c r="M730">
        <v>163</v>
      </c>
      <c r="N730">
        <v>88</v>
      </c>
      <c r="O730">
        <v>56</v>
      </c>
      <c r="P730" t="s">
        <v>44</v>
      </c>
    </row>
    <row r="731" spans="1:16" x14ac:dyDescent="0.25">
      <c r="A731">
        <v>739</v>
      </c>
      <c r="B731" s="2">
        <v>44059.456250000003</v>
      </c>
      <c r="C731" s="2">
        <v>44060.552083333336</v>
      </c>
      <c r="D731">
        <v>5</v>
      </c>
      <c r="E731" t="s">
        <v>4</v>
      </c>
      <c r="F731" t="s">
        <v>11</v>
      </c>
      <c r="G731" t="s">
        <v>24</v>
      </c>
      <c r="H731">
        <v>80</v>
      </c>
      <c r="I731">
        <v>11.59</v>
      </c>
      <c r="J731">
        <v>5.74</v>
      </c>
      <c r="K731" t="s">
        <v>15</v>
      </c>
      <c r="L731">
        <v>80</v>
      </c>
      <c r="M731">
        <v>170</v>
      </c>
      <c r="N731">
        <v>98</v>
      </c>
      <c r="O731">
        <v>35</v>
      </c>
      <c r="P731" t="s">
        <v>46</v>
      </c>
    </row>
    <row r="732" spans="1:16" x14ac:dyDescent="0.25">
      <c r="A732">
        <v>740</v>
      </c>
      <c r="B732" s="2">
        <v>44058.532638888886</v>
      </c>
      <c r="C732" s="2">
        <v>44060.618055555555</v>
      </c>
      <c r="D732">
        <v>2</v>
      </c>
      <c r="E732" t="s">
        <v>6</v>
      </c>
      <c r="F732" t="s">
        <v>3</v>
      </c>
      <c r="G732" t="s">
        <v>27</v>
      </c>
      <c r="H732">
        <v>78</v>
      </c>
      <c r="I732">
        <v>18.489999999999998</v>
      </c>
      <c r="J732">
        <v>2.61</v>
      </c>
      <c r="K732" t="s">
        <v>15</v>
      </c>
      <c r="L732">
        <v>114</v>
      </c>
      <c r="M732">
        <v>167</v>
      </c>
      <c r="N732">
        <v>78</v>
      </c>
      <c r="O732">
        <v>60</v>
      </c>
      <c r="P732" t="s">
        <v>44</v>
      </c>
    </row>
    <row r="733" spans="1:16" x14ac:dyDescent="0.25">
      <c r="A733">
        <v>741</v>
      </c>
      <c r="B733" s="2">
        <v>44060.670138888891</v>
      </c>
      <c r="C733" s="2">
        <v>44061.333333333336</v>
      </c>
      <c r="D733">
        <v>5</v>
      </c>
      <c r="E733" t="s">
        <v>4</v>
      </c>
      <c r="F733" t="s">
        <v>3</v>
      </c>
      <c r="G733" t="s">
        <v>29</v>
      </c>
      <c r="H733">
        <v>71</v>
      </c>
      <c r="I733">
        <v>3.29</v>
      </c>
      <c r="J733">
        <v>0.92</v>
      </c>
      <c r="K733" t="s">
        <v>15</v>
      </c>
      <c r="L733">
        <v>70</v>
      </c>
      <c r="M733">
        <v>173</v>
      </c>
      <c r="N733">
        <v>115</v>
      </c>
      <c r="O733">
        <v>55</v>
      </c>
      <c r="P733" t="s">
        <v>44</v>
      </c>
    </row>
    <row r="734" spans="1:16" x14ac:dyDescent="0.25">
      <c r="A734">
        <v>742</v>
      </c>
      <c r="B734" s="2">
        <v>44059.450694444444</v>
      </c>
      <c r="C734" s="2">
        <v>44061.340277777781</v>
      </c>
      <c r="D734">
        <v>3</v>
      </c>
      <c r="E734" t="s">
        <v>6</v>
      </c>
      <c r="F734" t="s">
        <v>10</v>
      </c>
      <c r="G734" t="s">
        <v>27</v>
      </c>
      <c r="H734">
        <v>69</v>
      </c>
      <c r="I734">
        <v>2.35</v>
      </c>
      <c r="J734">
        <v>2.57</v>
      </c>
      <c r="K734" t="s">
        <v>15</v>
      </c>
      <c r="L734">
        <v>168</v>
      </c>
      <c r="M734">
        <v>152</v>
      </c>
      <c r="N734">
        <v>61</v>
      </c>
      <c r="O734">
        <v>55</v>
      </c>
      <c r="P734" t="s">
        <v>44</v>
      </c>
    </row>
    <row r="735" spans="1:16" x14ac:dyDescent="0.25">
      <c r="A735">
        <v>743</v>
      </c>
      <c r="B735" s="2">
        <v>44060.659722222219</v>
      </c>
      <c r="C735" s="2">
        <v>44061.341666666667</v>
      </c>
      <c r="D735">
        <v>6</v>
      </c>
      <c r="E735" t="s">
        <v>4</v>
      </c>
      <c r="F735" t="s">
        <v>3</v>
      </c>
      <c r="G735" t="s">
        <v>26</v>
      </c>
      <c r="H735">
        <v>79</v>
      </c>
      <c r="I735">
        <v>8.1</v>
      </c>
      <c r="J735">
        <v>2.68</v>
      </c>
      <c r="K735" t="s">
        <v>15</v>
      </c>
      <c r="L735">
        <v>61</v>
      </c>
      <c r="M735">
        <v>169</v>
      </c>
      <c r="N735">
        <v>81</v>
      </c>
      <c r="O735">
        <v>52</v>
      </c>
      <c r="P735" t="s">
        <v>44</v>
      </c>
    </row>
    <row r="736" spans="1:16" x14ac:dyDescent="0.25">
      <c r="A736">
        <v>744</v>
      </c>
      <c r="B736" s="2">
        <v>44059.583333333336</v>
      </c>
      <c r="C736" s="2">
        <v>44061.349305555559</v>
      </c>
      <c r="D736">
        <v>4</v>
      </c>
      <c r="E736" t="s">
        <v>6</v>
      </c>
      <c r="F736" t="s">
        <v>3</v>
      </c>
      <c r="G736" t="s">
        <v>35</v>
      </c>
      <c r="H736">
        <v>64</v>
      </c>
      <c r="I736">
        <v>2.09</v>
      </c>
      <c r="J736">
        <v>0.77</v>
      </c>
      <c r="K736" t="s">
        <v>15</v>
      </c>
      <c r="L736">
        <v>86</v>
      </c>
      <c r="M736">
        <v>171</v>
      </c>
      <c r="N736">
        <v>72</v>
      </c>
      <c r="O736">
        <v>55</v>
      </c>
      <c r="P736" t="s">
        <v>44</v>
      </c>
    </row>
    <row r="737" spans="1:16" x14ac:dyDescent="0.25">
      <c r="A737">
        <v>745</v>
      </c>
      <c r="B737" s="2">
        <v>44061.291666666664</v>
      </c>
      <c r="C737" s="2">
        <v>44061.534722222219</v>
      </c>
      <c r="D737">
        <v>5</v>
      </c>
      <c r="E737" t="s">
        <v>4</v>
      </c>
      <c r="F737" t="s">
        <v>11</v>
      </c>
      <c r="G737" t="s">
        <v>29</v>
      </c>
      <c r="H737">
        <v>78</v>
      </c>
      <c r="I737">
        <v>9.4600000000000009</v>
      </c>
      <c r="J737">
        <v>4.17</v>
      </c>
      <c r="K737" t="s">
        <v>15</v>
      </c>
      <c r="L737">
        <v>167</v>
      </c>
      <c r="M737">
        <v>164</v>
      </c>
      <c r="N737">
        <v>89</v>
      </c>
      <c r="O737">
        <v>45</v>
      </c>
      <c r="P737" t="s">
        <v>46</v>
      </c>
    </row>
    <row r="738" spans="1:16" x14ac:dyDescent="0.25">
      <c r="A738">
        <v>746</v>
      </c>
      <c r="B738" s="2">
        <v>44061.291666666664</v>
      </c>
      <c r="C738" s="2">
        <v>44061.5625</v>
      </c>
      <c r="D738">
        <v>6</v>
      </c>
      <c r="E738" t="s">
        <v>4</v>
      </c>
      <c r="F738" t="s">
        <v>11</v>
      </c>
      <c r="G738" t="s">
        <v>26</v>
      </c>
      <c r="H738">
        <v>80</v>
      </c>
      <c r="I738">
        <v>7.94</v>
      </c>
      <c r="J738">
        <v>3.37</v>
      </c>
      <c r="K738" t="s">
        <v>15</v>
      </c>
      <c r="L738">
        <v>150</v>
      </c>
      <c r="M738">
        <v>179</v>
      </c>
      <c r="N738">
        <v>102</v>
      </c>
      <c r="O738">
        <v>17</v>
      </c>
      <c r="P738" t="s">
        <v>47</v>
      </c>
    </row>
    <row r="739" spans="1:16" x14ac:dyDescent="0.25">
      <c r="A739">
        <v>747</v>
      </c>
      <c r="B739" s="2">
        <v>44060.681944444441</v>
      </c>
      <c r="C739" s="2">
        <v>44061.583333333336</v>
      </c>
      <c r="D739">
        <v>4</v>
      </c>
      <c r="E739" t="s">
        <v>6</v>
      </c>
      <c r="F739" t="s">
        <v>10</v>
      </c>
      <c r="G739" t="s">
        <v>35</v>
      </c>
      <c r="H739">
        <v>69</v>
      </c>
      <c r="I739">
        <v>1.7</v>
      </c>
      <c r="J739">
        <v>0.88</v>
      </c>
      <c r="K739" t="s">
        <v>15</v>
      </c>
      <c r="L739">
        <v>86</v>
      </c>
      <c r="M739">
        <v>181</v>
      </c>
      <c r="N739">
        <v>101</v>
      </c>
      <c r="O739">
        <v>55</v>
      </c>
      <c r="P739" t="s">
        <v>44</v>
      </c>
    </row>
    <row r="740" spans="1:16" x14ac:dyDescent="0.25">
      <c r="A740">
        <v>748</v>
      </c>
      <c r="B740" s="2">
        <v>44061.675000000003</v>
      </c>
      <c r="C740" s="2">
        <v>44062.340277777781</v>
      </c>
      <c r="D740">
        <v>4</v>
      </c>
      <c r="E740" t="s">
        <v>4</v>
      </c>
      <c r="F740" t="s">
        <v>10</v>
      </c>
      <c r="G740" t="s">
        <v>24</v>
      </c>
      <c r="H740">
        <v>73</v>
      </c>
      <c r="I740">
        <v>2.21</v>
      </c>
      <c r="J740">
        <v>2.9</v>
      </c>
      <c r="K740" t="s">
        <v>15</v>
      </c>
      <c r="L740">
        <v>92</v>
      </c>
      <c r="M740">
        <v>144</v>
      </c>
      <c r="N740">
        <v>60</v>
      </c>
      <c r="O740">
        <v>65</v>
      </c>
      <c r="P740" t="s">
        <v>44</v>
      </c>
    </row>
    <row r="741" spans="1:16" x14ac:dyDescent="0.25">
      <c r="A741">
        <v>749</v>
      </c>
      <c r="B741" s="2">
        <v>44060.429166666669</v>
      </c>
      <c r="C741" s="2">
        <v>44062.340277777781</v>
      </c>
      <c r="D741">
        <v>6</v>
      </c>
      <c r="E741" t="s">
        <v>6</v>
      </c>
      <c r="F741" t="s">
        <v>10</v>
      </c>
      <c r="G741" t="s">
        <v>29</v>
      </c>
      <c r="H741">
        <v>66</v>
      </c>
      <c r="I741">
        <v>2.11</v>
      </c>
      <c r="J741">
        <v>1.1100000000000001</v>
      </c>
      <c r="K741" t="s">
        <v>15</v>
      </c>
      <c r="L741">
        <v>134</v>
      </c>
      <c r="M741">
        <v>178</v>
      </c>
      <c r="N741">
        <v>70</v>
      </c>
      <c r="O741">
        <v>55</v>
      </c>
      <c r="P741" t="s">
        <v>44</v>
      </c>
    </row>
    <row r="742" spans="1:16" x14ac:dyDescent="0.25">
      <c r="A742">
        <v>750</v>
      </c>
      <c r="B742" s="2">
        <v>44060.683333333334</v>
      </c>
      <c r="C742" s="2">
        <v>44062.347222222219</v>
      </c>
      <c r="D742">
        <v>2</v>
      </c>
      <c r="E742" t="s">
        <v>6</v>
      </c>
      <c r="F742" t="s">
        <v>11</v>
      </c>
      <c r="G742" t="s">
        <v>30</v>
      </c>
      <c r="H742">
        <v>72</v>
      </c>
      <c r="I742">
        <v>10.75</v>
      </c>
      <c r="J742">
        <v>4.93</v>
      </c>
      <c r="K742" t="s">
        <v>15</v>
      </c>
      <c r="L742">
        <v>95</v>
      </c>
      <c r="M742">
        <v>170</v>
      </c>
      <c r="N742">
        <v>87</v>
      </c>
      <c r="O742">
        <v>54</v>
      </c>
      <c r="P742" t="s">
        <v>44</v>
      </c>
    </row>
    <row r="743" spans="1:16" x14ac:dyDescent="0.25">
      <c r="A743">
        <v>751</v>
      </c>
      <c r="B743" s="2">
        <v>44061.655555555553</v>
      </c>
      <c r="C743" s="2">
        <v>44062.369444444441</v>
      </c>
      <c r="D743">
        <v>5</v>
      </c>
      <c r="E743" t="s">
        <v>4</v>
      </c>
      <c r="F743" t="s">
        <v>3</v>
      </c>
      <c r="G743" t="s">
        <v>28</v>
      </c>
      <c r="H743">
        <v>76</v>
      </c>
      <c r="I743">
        <v>6.19</v>
      </c>
      <c r="J743">
        <v>1.77</v>
      </c>
      <c r="K743" t="s">
        <v>15</v>
      </c>
      <c r="L743">
        <v>104</v>
      </c>
      <c r="M743">
        <v>176</v>
      </c>
      <c r="N743">
        <v>92</v>
      </c>
      <c r="O743">
        <v>43</v>
      </c>
      <c r="P743" t="s">
        <v>46</v>
      </c>
    </row>
    <row r="744" spans="1:16" x14ac:dyDescent="0.25">
      <c r="A744">
        <v>752</v>
      </c>
      <c r="B744" s="2">
        <v>44062.769444444442</v>
      </c>
      <c r="C744" s="2">
        <v>44063.341666666667</v>
      </c>
      <c r="D744">
        <v>6</v>
      </c>
      <c r="E744" t="s">
        <v>4</v>
      </c>
      <c r="F744" t="s">
        <v>3</v>
      </c>
      <c r="G744" t="s">
        <v>29</v>
      </c>
      <c r="H744">
        <v>81</v>
      </c>
      <c r="I744">
        <v>8.07</v>
      </c>
      <c r="J744">
        <v>1.5</v>
      </c>
      <c r="K744" t="s">
        <v>15</v>
      </c>
      <c r="L744">
        <v>76</v>
      </c>
      <c r="M744">
        <v>171</v>
      </c>
      <c r="N744">
        <v>86</v>
      </c>
      <c r="O744">
        <v>58</v>
      </c>
      <c r="P744" t="s">
        <v>44</v>
      </c>
    </row>
    <row r="745" spans="1:16" x14ac:dyDescent="0.25">
      <c r="A745">
        <v>753</v>
      </c>
      <c r="B745" s="2">
        <v>44062.666666666664</v>
      </c>
      <c r="C745" s="2">
        <v>44063.34375</v>
      </c>
      <c r="D745">
        <v>4</v>
      </c>
      <c r="E745" t="s">
        <v>4</v>
      </c>
      <c r="F745" t="s">
        <v>11</v>
      </c>
      <c r="G745" t="s">
        <v>24</v>
      </c>
      <c r="H745">
        <v>70</v>
      </c>
      <c r="I745">
        <v>5.78</v>
      </c>
      <c r="J745">
        <v>2.59</v>
      </c>
      <c r="K745" t="s">
        <v>15</v>
      </c>
      <c r="L745">
        <v>84</v>
      </c>
      <c r="M745">
        <v>168</v>
      </c>
      <c r="N745">
        <v>64</v>
      </c>
      <c r="O745">
        <v>40</v>
      </c>
      <c r="P745" t="s">
        <v>46</v>
      </c>
    </row>
    <row r="746" spans="1:16" x14ac:dyDescent="0.25">
      <c r="A746">
        <v>754</v>
      </c>
      <c r="B746" s="2">
        <v>44062.753472222219</v>
      </c>
      <c r="C746" s="2">
        <v>44063.34652777778</v>
      </c>
      <c r="D746">
        <v>5</v>
      </c>
      <c r="E746" t="s">
        <v>4</v>
      </c>
      <c r="F746" t="s">
        <v>10</v>
      </c>
      <c r="G746" t="s">
        <v>23</v>
      </c>
      <c r="H746">
        <v>69</v>
      </c>
      <c r="I746">
        <v>2.35</v>
      </c>
      <c r="J746">
        <v>0.81</v>
      </c>
      <c r="K746" t="s">
        <v>15</v>
      </c>
      <c r="L746">
        <v>113</v>
      </c>
      <c r="M746">
        <v>159</v>
      </c>
      <c r="N746">
        <v>74</v>
      </c>
      <c r="O746">
        <v>55</v>
      </c>
      <c r="P746" t="s">
        <v>44</v>
      </c>
    </row>
    <row r="747" spans="1:16" x14ac:dyDescent="0.25">
      <c r="A747">
        <v>756</v>
      </c>
      <c r="B747" s="2">
        <v>44063.286805555559</v>
      </c>
      <c r="C747" s="2">
        <v>44063.585416666669</v>
      </c>
      <c r="D747">
        <v>5</v>
      </c>
      <c r="E747" t="s">
        <v>4</v>
      </c>
      <c r="F747" t="s">
        <v>1</v>
      </c>
      <c r="G747" t="s">
        <v>23</v>
      </c>
      <c r="H747">
        <v>86</v>
      </c>
      <c r="I747">
        <v>29.08</v>
      </c>
      <c r="J747">
        <v>6.24</v>
      </c>
      <c r="K747" t="s">
        <v>15</v>
      </c>
      <c r="L747">
        <v>123</v>
      </c>
      <c r="M747">
        <v>175</v>
      </c>
      <c r="N747">
        <v>78</v>
      </c>
      <c r="O747">
        <v>25</v>
      </c>
      <c r="P747" t="s">
        <v>45</v>
      </c>
    </row>
    <row r="748" spans="1:16" x14ac:dyDescent="0.25">
      <c r="A748">
        <v>757</v>
      </c>
      <c r="B748" s="2">
        <v>44063.662499999999</v>
      </c>
      <c r="C748" s="2">
        <v>44064.341666666667</v>
      </c>
      <c r="D748">
        <v>4</v>
      </c>
      <c r="E748" t="s">
        <v>4</v>
      </c>
      <c r="F748" t="s">
        <v>3</v>
      </c>
      <c r="G748" t="s">
        <v>35</v>
      </c>
      <c r="H748">
        <v>82</v>
      </c>
      <c r="I748">
        <v>17.45</v>
      </c>
      <c r="J748">
        <v>7.31</v>
      </c>
      <c r="K748" t="s">
        <v>15</v>
      </c>
      <c r="L748">
        <v>83</v>
      </c>
      <c r="M748">
        <v>160</v>
      </c>
      <c r="N748">
        <v>72</v>
      </c>
      <c r="O748">
        <v>33</v>
      </c>
      <c r="P748" t="s">
        <v>46</v>
      </c>
    </row>
    <row r="749" spans="1:16" x14ac:dyDescent="0.25">
      <c r="A749">
        <v>758</v>
      </c>
      <c r="B749" s="2">
        <v>44060.545138888891</v>
      </c>
      <c r="C749" s="2">
        <v>44064.34375</v>
      </c>
      <c r="D749">
        <v>5</v>
      </c>
      <c r="E749" t="s">
        <v>4</v>
      </c>
      <c r="F749" t="s">
        <v>10</v>
      </c>
      <c r="G749" t="s">
        <v>27</v>
      </c>
      <c r="H749">
        <v>74</v>
      </c>
      <c r="I749">
        <v>2.36</v>
      </c>
      <c r="J749">
        <v>0.83</v>
      </c>
      <c r="K749" t="s">
        <v>15</v>
      </c>
      <c r="L749">
        <v>117</v>
      </c>
      <c r="M749">
        <v>178</v>
      </c>
      <c r="N749">
        <v>115</v>
      </c>
      <c r="O749">
        <v>17</v>
      </c>
      <c r="P749" t="s">
        <v>47</v>
      </c>
    </row>
    <row r="750" spans="1:16" x14ac:dyDescent="0.25">
      <c r="A750">
        <v>759</v>
      </c>
      <c r="B750" s="2">
        <v>44055.708333333336</v>
      </c>
      <c r="C750" s="2">
        <v>44064.559027777781</v>
      </c>
      <c r="D750">
        <v>5</v>
      </c>
      <c r="E750" t="s">
        <v>6</v>
      </c>
      <c r="F750" t="s">
        <v>10</v>
      </c>
      <c r="G750" t="s">
        <v>27</v>
      </c>
      <c r="H750">
        <v>59</v>
      </c>
      <c r="I750">
        <v>1.51</v>
      </c>
      <c r="J750">
        <v>0.8</v>
      </c>
      <c r="K750" t="s">
        <v>15</v>
      </c>
      <c r="L750">
        <v>80</v>
      </c>
      <c r="M750">
        <v>163</v>
      </c>
      <c r="N750">
        <v>66</v>
      </c>
      <c r="O750">
        <v>40</v>
      </c>
      <c r="P750" t="s">
        <v>46</v>
      </c>
    </row>
    <row r="751" spans="1:16" x14ac:dyDescent="0.25">
      <c r="A751">
        <v>760</v>
      </c>
      <c r="B751" s="2">
        <v>44064.291666666664</v>
      </c>
      <c r="C751" s="2">
        <v>44064.621527777781</v>
      </c>
      <c r="D751">
        <v>4</v>
      </c>
      <c r="E751" t="s">
        <v>4</v>
      </c>
      <c r="F751" t="s">
        <v>3</v>
      </c>
      <c r="G751" t="s">
        <v>35</v>
      </c>
      <c r="H751">
        <v>64</v>
      </c>
      <c r="I751">
        <v>2.88</v>
      </c>
      <c r="J751">
        <v>1.05</v>
      </c>
      <c r="K751" t="s">
        <v>15</v>
      </c>
      <c r="L751">
        <v>76</v>
      </c>
      <c r="M751">
        <v>152</v>
      </c>
      <c r="N751">
        <v>67</v>
      </c>
      <c r="O751">
        <v>40</v>
      </c>
      <c r="P751" t="s">
        <v>46</v>
      </c>
    </row>
    <row r="752" spans="1:16" x14ac:dyDescent="0.25">
      <c r="A752">
        <v>761</v>
      </c>
      <c r="B752" s="2">
        <v>44064.583333333336</v>
      </c>
      <c r="C752" s="2">
        <v>44065.336111111108</v>
      </c>
      <c r="D752">
        <v>5</v>
      </c>
      <c r="E752" t="s">
        <v>4</v>
      </c>
      <c r="F752" t="s">
        <v>3</v>
      </c>
      <c r="G752" t="s">
        <v>35</v>
      </c>
      <c r="H752">
        <v>48</v>
      </c>
      <c r="I752">
        <v>2.08</v>
      </c>
      <c r="J752">
        <v>0.62</v>
      </c>
      <c r="K752" t="s">
        <v>15</v>
      </c>
      <c r="L752">
        <v>92</v>
      </c>
      <c r="M752">
        <v>163</v>
      </c>
      <c r="N752">
        <v>95</v>
      </c>
      <c r="O752">
        <v>50</v>
      </c>
      <c r="P752" t="s">
        <v>46</v>
      </c>
    </row>
    <row r="753" spans="1:16" x14ac:dyDescent="0.25">
      <c r="A753">
        <v>762</v>
      </c>
      <c r="B753" s="2">
        <v>44064.576388888891</v>
      </c>
      <c r="C753" s="2">
        <v>44065.532638888886</v>
      </c>
      <c r="D753">
        <v>5</v>
      </c>
      <c r="E753" t="s">
        <v>4</v>
      </c>
      <c r="F753" t="s">
        <v>11</v>
      </c>
      <c r="G753" t="s">
        <v>35</v>
      </c>
      <c r="H753">
        <v>78</v>
      </c>
      <c r="I753">
        <v>7.01</v>
      </c>
      <c r="J753">
        <v>1.78</v>
      </c>
      <c r="K753" t="s">
        <v>15</v>
      </c>
      <c r="L753">
        <v>62</v>
      </c>
      <c r="M753">
        <v>177</v>
      </c>
      <c r="N753">
        <v>76</v>
      </c>
      <c r="O753">
        <v>63</v>
      </c>
      <c r="P753" t="s">
        <v>44</v>
      </c>
    </row>
    <row r="754" spans="1:16" x14ac:dyDescent="0.25">
      <c r="A754">
        <v>763</v>
      </c>
      <c r="B754" s="2">
        <v>44066.666666666664</v>
      </c>
      <c r="C754" s="2">
        <v>44067.338888888888</v>
      </c>
      <c r="D754">
        <v>4</v>
      </c>
      <c r="E754" t="s">
        <v>4</v>
      </c>
      <c r="F754" t="s">
        <v>3</v>
      </c>
      <c r="G754" t="s">
        <v>32</v>
      </c>
      <c r="H754">
        <v>77</v>
      </c>
      <c r="I754">
        <v>6.59</v>
      </c>
      <c r="J754">
        <v>2.31</v>
      </c>
      <c r="K754" t="s">
        <v>15</v>
      </c>
      <c r="L754">
        <v>95</v>
      </c>
      <c r="M754">
        <v>175</v>
      </c>
      <c r="N754">
        <v>84</v>
      </c>
      <c r="O754">
        <v>54</v>
      </c>
      <c r="P754" t="s">
        <v>44</v>
      </c>
    </row>
    <row r="755" spans="1:16" x14ac:dyDescent="0.25">
      <c r="A755">
        <v>764</v>
      </c>
      <c r="B755" s="2">
        <v>44066.663194444445</v>
      </c>
      <c r="C755" s="2">
        <v>44067.34097222222</v>
      </c>
      <c r="D755">
        <v>3</v>
      </c>
      <c r="E755" t="s">
        <v>4</v>
      </c>
      <c r="F755" t="s">
        <v>3</v>
      </c>
      <c r="G755" t="s">
        <v>30</v>
      </c>
      <c r="H755">
        <v>62</v>
      </c>
      <c r="I755">
        <v>1.83</v>
      </c>
      <c r="J755">
        <v>0.59</v>
      </c>
      <c r="K755" t="s">
        <v>15</v>
      </c>
      <c r="L755">
        <v>112</v>
      </c>
      <c r="M755">
        <v>167</v>
      </c>
      <c r="N755">
        <v>75</v>
      </c>
      <c r="O755">
        <v>55</v>
      </c>
      <c r="P755" t="s">
        <v>44</v>
      </c>
    </row>
    <row r="756" spans="1:16" x14ac:dyDescent="0.25">
      <c r="A756">
        <v>765</v>
      </c>
      <c r="B756" s="2">
        <v>44066.666666666664</v>
      </c>
      <c r="C756" s="2">
        <v>44067.34097222222</v>
      </c>
      <c r="D756">
        <v>2</v>
      </c>
      <c r="E756" t="s">
        <v>4</v>
      </c>
      <c r="F756" t="s">
        <v>11</v>
      </c>
      <c r="G756" t="s">
        <v>31</v>
      </c>
      <c r="H756">
        <v>81</v>
      </c>
      <c r="I756">
        <v>6.21</v>
      </c>
      <c r="J756">
        <v>2.33</v>
      </c>
      <c r="K756" t="s">
        <v>15</v>
      </c>
      <c r="L756">
        <v>93</v>
      </c>
      <c r="M756">
        <v>151</v>
      </c>
      <c r="N756">
        <v>60</v>
      </c>
      <c r="O756">
        <v>45</v>
      </c>
      <c r="P756" t="s">
        <v>46</v>
      </c>
    </row>
    <row r="757" spans="1:16" x14ac:dyDescent="0.25">
      <c r="A757">
        <v>766</v>
      </c>
      <c r="B757" s="2">
        <v>44066.666666666664</v>
      </c>
      <c r="C757" s="2">
        <v>44067.342361111114</v>
      </c>
      <c r="D757">
        <v>5</v>
      </c>
      <c r="E757" t="s">
        <v>4</v>
      </c>
      <c r="F757" t="s">
        <v>11</v>
      </c>
      <c r="G757" t="s">
        <v>29</v>
      </c>
      <c r="H757">
        <v>66</v>
      </c>
      <c r="I757">
        <v>6.64</v>
      </c>
      <c r="J757">
        <v>8.91</v>
      </c>
      <c r="K757" t="s">
        <v>15</v>
      </c>
      <c r="L757">
        <v>162</v>
      </c>
      <c r="M757">
        <v>178</v>
      </c>
      <c r="N757">
        <v>70</v>
      </c>
      <c r="O757">
        <v>65</v>
      </c>
      <c r="P757" t="s">
        <v>44</v>
      </c>
    </row>
    <row r="758" spans="1:16" x14ac:dyDescent="0.25">
      <c r="A758">
        <v>767</v>
      </c>
      <c r="B758" s="2">
        <v>44066.666666666664</v>
      </c>
      <c r="C758" s="2">
        <v>44067.361111111109</v>
      </c>
      <c r="D758">
        <v>6</v>
      </c>
      <c r="E758" t="s">
        <v>4</v>
      </c>
      <c r="F758" t="s">
        <v>11</v>
      </c>
      <c r="G758" t="s">
        <v>23</v>
      </c>
      <c r="H758">
        <v>68</v>
      </c>
      <c r="I758">
        <v>4.0599999999999996</v>
      </c>
      <c r="J758">
        <v>2.48</v>
      </c>
      <c r="K758" t="s">
        <v>15</v>
      </c>
      <c r="L758">
        <v>89</v>
      </c>
      <c r="M758">
        <v>191</v>
      </c>
      <c r="N758">
        <v>99</v>
      </c>
      <c r="O758">
        <v>59</v>
      </c>
      <c r="P758" t="s">
        <v>44</v>
      </c>
    </row>
    <row r="759" spans="1:16" x14ac:dyDescent="0.25">
      <c r="A759">
        <v>768</v>
      </c>
      <c r="B759" s="2">
        <v>44066.666666666664</v>
      </c>
      <c r="C759" s="2">
        <v>44067.479166666664</v>
      </c>
      <c r="D759">
        <v>4</v>
      </c>
      <c r="E759" t="s">
        <v>4</v>
      </c>
      <c r="F759" t="s">
        <v>11</v>
      </c>
      <c r="G759" t="s">
        <v>32</v>
      </c>
      <c r="H759">
        <v>47</v>
      </c>
      <c r="I759">
        <v>6.98</v>
      </c>
      <c r="J759">
        <v>4.3</v>
      </c>
      <c r="K759" t="s">
        <v>15</v>
      </c>
      <c r="L759">
        <v>66</v>
      </c>
      <c r="M759">
        <v>180</v>
      </c>
      <c r="N759">
        <v>85</v>
      </c>
      <c r="O759">
        <v>30</v>
      </c>
      <c r="P759" t="s">
        <v>45</v>
      </c>
    </row>
    <row r="760" spans="1:16" x14ac:dyDescent="0.25">
      <c r="A760">
        <v>769</v>
      </c>
      <c r="B760" s="2">
        <v>44064.666666666664</v>
      </c>
      <c r="C760" s="2">
        <v>44067.510416666664</v>
      </c>
      <c r="D760">
        <v>3</v>
      </c>
      <c r="E760" t="s">
        <v>6</v>
      </c>
      <c r="F760" t="s">
        <v>3</v>
      </c>
      <c r="G760" t="s">
        <v>30</v>
      </c>
      <c r="H760">
        <v>70</v>
      </c>
      <c r="I760">
        <v>35.56</v>
      </c>
      <c r="J760">
        <v>11.88</v>
      </c>
      <c r="K760" t="s">
        <v>15</v>
      </c>
      <c r="L760">
        <v>65</v>
      </c>
      <c r="M760">
        <v>175</v>
      </c>
      <c r="N760">
        <v>89</v>
      </c>
      <c r="O760">
        <v>25</v>
      </c>
      <c r="P760" t="s">
        <v>45</v>
      </c>
    </row>
    <row r="761" spans="1:16" x14ac:dyDescent="0.25">
      <c r="A761">
        <v>770</v>
      </c>
      <c r="B761" s="2">
        <v>44065.572916666664</v>
      </c>
      <c r="C761" s="2">
        <v>44067.580555555556</v>
      </c>
      <c r="D761">
        <v>2</v>
      </c>
      <c r="E761" t="s">
        <v>6</v>
      </c>
      <c r="F761" t="s">
        <v>11</v>
      </c>
      <c r="G761" t="s">
        <v>31</v>
      </c>
      <c r="H761">
        <v>82</v>
      </c>
      <c r="I761">
        <v>17.45</v>
      </c>
      <c r="J761">
        <v>7.92</v>
      </c>
      <c r="K761" t="s">
        <v>15</v>
      </c>
      <c r="L761">
        <v>86</v>
      </c>
      <c r="M761">
        <v>178</v>
      </c>
      <c r="N761">
        <v>82</v>
      </c>
      <c r="O761">
        <v>30</v>
      </c>
      <c r="P761" t="s">
        <v>45</v>
      </c>
    </row>
    <row r="762" spans="1:16" x14ac:dyDescent="0.25">
      <c r="A762">
        <v>771</v>
      </c>
      <c r="B762" s="2">
        <v>44067.288888888892</v>
      </c>
      <c r="C762" s="2">
        <v>44067.649305555555</v>
      </c>
      <c r="D762">
        <v>6</v>
      </c>
      <c r="E762" t="s">
        <v>4</v>
      </c>
      <c r="F762" t="s">
        <v>10</v>
      </c>
      <c r="G762" t="s">
        <v>23</v>
      </c>
      <c r="H762">
        <v>70</v>
      </c>
      <c r="I762">
        <v>2.74</v>
      </c>
      <c r="J762">
        <v>1.65</v>
      </c>
      <c r="K762" t="s">
        <v>15</v>
      </c>
      <c r="L762">
        <v>92</v>
      </c>
      <c r="M762">
        <v>180</v>
      </c>
      <c r="N762">
        <v>94</v>
      </c>
      <c r="O762">
        <v>55</v>
      </c>
      <c r="P762" t="s">
        <v>44</v>
      </c>
    </row>
    <row r="763" spans="1:16" x14ac:dyDescent="0.25">
      <c r="A763">
        <v>772</v>
      </c>
      <c r="B763" s="2">
        <v>44068.301388888889</v>
      </c>
      <c r="C763" s="2">
        <v>44068.427083333336</v>
      </c>
      <c r="D763">
        <v>3</v>
      </c>
      <c r="E763" t="s">
        <v>4</v>
      </c>
      <c r="F763" t="s">
        <v>3</v>
      </c>
      <c r="G763" t="s">
        <v>27</v>
      </c>
      <c r="H763">
        <v>73</v>
      </c>
      <c r="I763">
        <v>5.13</v>
      </c>
      <c r="J763">
        <v>2.81</v>
      </c>
      <c r="K763" t="s">
        <v>15</v>
      </c>
      <c r="L763">
        <v>101</v>
      </c>
      <c r="M763">
        <v>180</v>
      </c>
      <c r="N763">
        <v>79</v>
      </c>
      <c r="O763">
        <v>55</v>
      </c>
      <c r="P763" t="s">
        <v>44</v>
      </c>
    </row>
    <row r="764" spans="1:16" x14ac:dyDescent="0.25">
      <c r="A764">
        <v>773</v>
      </c>
      <c r="B764" s="2">
        <v>44068.291666666664</v>
      </c>
      <c r="C764" s="2">
        <v>44068.503472222219</v>
      </c>
      <c r="D764">
        <v>4</v>
      </c>
      <c r="E764" t="s">
        <v>4</v>
      </c>
      <c r="F764" t="s">
        <v>11</v>
      </c>
      <c r="G764" t="s">
        <v>35</v>
      </c>
      <c r="H764">
        <v>76</v>
      </c>
      <c r="I764">
        <v>6.73</v>
      </c>
      <c r="J764">
        <v>2.4900000000000002</v>
      </c>
      <c r="K764" t="s">
        <v>15</v>
      </c>
      <c r="L764">
        <v>105</v>
      </c>
      <c r="M764">
        <v>190</v>
      </c>
      <c r="N764">
        <v>94</v>
      </c>
      <c r="O764">
        <v>46</v>
      </c>
      <c r="P764" t="s">
        <v>46</v>
      </c>
    </row>
    <row r="765" spans="1:16" x14ac:dyDescent="0.25">
      <c r="A765">
        <v>774</v>
      </c>
      <c r="B765" s="2">
        <v>44062.270833333336</v>
      </c>
      <c r="C765" s="2">
        <v>44068.51458333333</v>
      </c>
      <c r="D765">
        <v>5</v>
      </c>
      <c r="E765" t="s">
        <v>4</v>
      </c>
      <c r="F765" t="s">
        <v>11</v>
      </c>
      <c r="G765" t="s">
        <v>32</v>
      </c>
      <c r="H765">
        <v>77</v>
      </c>
      <c r="I765">
        <v>4.83</v>
      </c>
      <c r="J765">
        <v>1.55</v>
      </c>
      <c r="K765" t="s">
        <v>15</v>
      </c>
      <c r="L765">
        <v>104</v>
      </c>
      <c r="M765">
        <v>164</v>
      </c>
      <c r="N765">
        <v>74</v>
      </c>
      <c r="O765">
        <v>69</v>
      </c>
      <c r="P765" t="s">
        <v>44</v>
      </c>
    </row>
    <row r="766" spans="1:16" x14ac:dyDescent="0.25">
      <c r="A766">
        <v>775</v>
      </c>
      <c r="B766" s="2">
        <v>44068.302083333336</v>
      </c>
      <c r="C766" s="2">
        <v>44068.520833333336</v>
      </c>
      <c r="D766">
        <v>6</v>
      </c>
      <c r="E766" t="s">
        <v>4</v>
      </c>
      <c r="F766" t="s">
        <v>10</v>
      </c>
      <c r="G766" t="s">
        <v>26</v>
      </c>
      <c r="H766">
        <v>64</v>
      </c>
      <c r="I766">
        <v>1.23</v>
      </c>
      <c r="J766">
        <v>1.18</v>
      </c>
      <c r="K766" t="s">
        <v>15</v>
      </c>
      <c r="L766">
        <v>84</v>
      </c>
      <c r="M766">
        <v>163</v>
      </c>
      <c r="N766">
        <v>59</v>
      </c>
      <c r="O766">
        <v>45</v>
      </c>
      <c r="P766" t="s">
        <v>46</v>
      </c>
    </row>
    <row r="767" spans="1:16" x14ac:dyDescent="0.25">
      <c r="A767">
        <v>776</v>
      </c>
      <c r="B767" s="2">
        <v>44068.298611111109</v>
      </c>
      <c r="C767" s="2">
        <v>44068.680555555555</v>
      </c>
      <c r="D767">
        <v>5</v>
      </c>
      <c r="E767" t="s">
        <v>4</v>
      </c>
      <c r="F767" t="s">
        <v>11</v>
      </c>
      <c r="G767" t="s">
        <v>32</v>
      </c>
      <c r="H767">
        <v>65</v>
      </c>
      <c r="I767">
        <v>2.23</v>
      </c>
      <c r="J767">
        <v>1.1000000000000001</v>
      </c>
      <c r="K767" t="s">
        <v>15</v>
      </c>
      <c r="L767">
        <v>113</v>
      </c>
      <c r="M767">
        <v>168</v>
      </c>
      <c r="N767">
        <v>79</v>
      </c>
      <c r="O767">
        <v>10</v>
      </c>
      <c r="P767" t="s">
        <v>47</v>
      </c>
    </row>
    <row r="768" spans="1:16" x14ac:dyDescent="0.25">
      <c r="A768">
        <v>777</v>
      </c>
      <c r="B768" s="2">
        <v>44068.67291666667</v>
      </c>
      <c r="C768" s="2">
        <v>44069.341666666667</v>
      </c>
      <c r="D768">
        <v>4</v>
      </c>
      <c r="E768" t="s">
        <v>4</v>
      </c>
      <c r="F768" t="s">
        <v>10</v>
      </c>
      <c r="G768" t="s">
        <v>24</v>
      </c>
      <c r="H768">
        <v>66</v>
      </c>
      <c r="I768">
        <v>1.4</v>
      </c>
      <c r="J768">
        <v>1.1100000000000001</v>
      </c>
      <c r="K768" t="s">
        <v>15</v>
      </c>
      <c r="L768">
        <v>81</v>
      </c>
      <c r="M768">
        <v>151</v>
      </c>
      <c r="N768">
        <v>62</v>
      </c>
      <c r="O768">
        <v>45</v>
      </c>
      <c r="P768" t="s">
        <v>46</v>
      </c>
    </row>
    <row r="769" spans="1:16" x14ac:dyDescent="0.25">
      <c r="A769">
        <v>778</v>
      </c>
      <c r="B769" s="2">
        <v>44059.665972222225</v>
      </c>
      <c r="C769" s="2">
        <v>44069.34375</v>
      </c>
      <c r="D769">
        <v>6</v>
      </c>
      <c r="E769" t="s">
        <v>4</v>
      </c>
      <c r="F769" t="s">
        <v>10</v>
      </c>
      <c r="G769" t="s">
        <v>31</v>
      </c>
      <c r="H769">
        <v>55</v>
      </c>
      <c r="I769">
        <v>2.2799999999999998</v>
      </c>
      <c r="J769">
        <v>0.8</v>
      </c>
      <c r="K769" t="s">
        <v>15</v>
      </c>
      <c r="L769">
        <v>100</v>
      </c>
      <c r="M769">
        <v>175</v>
      </c>
      <c r="N769">
        <v>73</v>
      </c>
      <c r="O769">
        <v>45</v>
      </c>
      <c r="P769" t="s">
        <v>46</v>
      </c>
    </row>
    <row r="770" spans="1:16" x14ac:dyDescent="0.25">
      <c r="A770">
        <v>779</v>
      </c>
      <c r="B770" s="2">
        <v>44068.650694444441</v>
      </c>
      <c r="C770" s="2">
        <v>44069.347222222219</v>
      </c>
      <c r="D770">
        <v>5</v>
      </c>
      <c r="E770" t="s">
        <v>4</v>
      </c>
      <c r="F770" t="s">
        <v>3</v>
      </c>
      <c r="G770" t="s">
        <v>35</v>
      </c>
      <c r="H770">
        <v>73</v>
      </c>
      <c r="I770">
        <v>2.21</v>
      </c>
      <c r="J770">
        <v>0.8</v>
      </c>
      <c r="K770" t="s">
        <v>15</v>
      </c>
      <c r="L770">
        <v>99</v>
      </c>
      <c r="M770">
        <v>172</v>
      </c>
      <c r="N770">
        <v>98</v>
      </c>
      <c r="O770">
        <v>40</v>
      </c>
      <c r="P770" t="s">
        <v>46</v>
      </c>
    </row>
    <row r="771" spans="1:16" x14ac:dyDescent="0.25">
      <c r="A771">
        <v>780</v>
      </c>
      <c r="B771" s="2">
        <v>44068.648611111108</v>
      </c>
      <c r="C771" s="2">
        <v>44069.350694444445</v>
      </c>
      <c r="D771">
        <v>2</v>
      </c>
      <c r="E771" t="s">
        <v>4</v>
      </c>
      <c r="F771" t="s">
        <v>3</v>
      </c>
      <c r="G771" t="s">
        <v>32</v>
      </c>
      <c r="H771">
        <v>68</v>
      </c>
      <c r="I771">
        <v>5.97</v>
      </c>
      <c r="J771">
        <v>2.21</v>
      </c>
      <c r="K771" t="s">
        <v>15</v>
      </c>
      <c r="L771">
        <v>78</v>
      </c>
      <c r="M771">
        <v>166</v>
      </c>
      <c r="N771">
        <v>97</v>
      </c>
      <c r="O771">
        <v>20</v>
      </c>
      <c r="P771" t="s">
        <v>47</v>
      </c>
    </row>
    <row r="772" spans="1:16" x14ac:dyDescent="0.25">
      <c r="A772">
        <v>781</v>
      </c>
      <c r="B772" s="2">
        <v>44069.295138888891</v>
      </c>
      <c r="C772" s="2">
        <v>44069.541666666664</v>
      </c>
      <c r="D772">
        <v>2</v>
      </c>
      <c r="E772" t="s">
        <v>4</v>
      </c>
      <c r="F772" t="s">
        <v>3</v>
      </c>
      <c r="G772" t="s">
        <v>32</v>
      </c>
      <c r="H772">
        <v>66</v>
      </c>
      <c r="I772">
        <v>5.26</v>
      </c>
      <c r="J772">
        <v>0.99</v>
      </c>
      <c r="K772" t="s">
        <v>15</v>
      </c>
      <c r="L772">
        <v>110</v>
      </c>
      <c r="M772">
        <v>173</v>
      </c>
      <c r="N772">
        <v>89</v>
      </c>
      <c r="O772">
        <v>28</v>
      </c>
      <c r="P772" t="s">
        <v>45</v>
      </c>
    </row>
    <row r="773" spans="1:16" x14ac:dyDescent="0.25">
      <c r="A773">
        <v>782</v>
      </c>
      <c r="B773" s="2">
        <v>44069.290972222225</v>
      </c>
      <c r="C773" s="2">
        <v>44069.570833333331</v>
      </c>
      <c r="D773">
        <v>5</v>
      </c>
      <c r="E773" t="s">
        <v>4</v>
      </c>
      <c r="F773" t="s">
        <v>3</v>
      </c>
      <c r="G773" t="s">
        <v>35</v>
      </c>
      <c r="H773">
        <v>63</v>
      </c>
      <c r="I773">
        <v>1.1499999999999999</v>
      </c>
      <c r="J773">
        <v>0.6</v>
      </c>
      <c r="K773" t="s">
        <v>15</v>
      </c>
      <c r="L773">
        <v>66</v>
      </c>
      <c r="M773">
        <v>150</v>
      </c>
      <c r="N773">
        <v>60</v>
      </c>
      <c r="O773">
        <v>60</v>
      </c>
      <c r="P773" t="s">
        <v>44</v>
      </c>
    </row>
    <row r="774" spans="1:16" x14ac:dyDescent="0.25">
      <c r="A774">
        <v>783</v>
      </c>
      <c r="B774" s="2">
        <v>44069.293055555558</v>
      </c>
      <c r="C774" s="2">
        <v>44069.620138888888</v>
      </c>
      <c r="D774">
        <v>6</v>
      </c>
      <c r="E774" t="s">
        <v>4</v>
      </c>
      <c r="F774" t="s">
        <v>10</v>
      </c>
      <c r="G774" t="s">
        <v>31</v>
      </c>
      <c r="H774">
        <v>75</v>
      </c>
      <c r="I774">
        <v>2.52</v>
      </c>
      <c r="J774">
        <v>0.85</v>
      </c>
      <c r="K774" t="s">
        <v>15</v>
      </c>
      <c r="L774">
        <v>84</v>
      </c>
      <c r="M774">
        <v>180</v>
      </c>
      <c r="N774">
        <v>88</v>
      </c>
      <c r="O774">
        <v>45</v>
      </c>
      <c r="P774" t="s">
        <v>46</v>
      </c>
    </row>
    <row r="775" spans="1:16" x14ac:dyDescent="0.25">
      <c r="A775">
        <v>784</v>
      </c>
      <c r="B775" s="2">
        <v>44069.656944444447</v>
      </c>
      <c r="C775" s="2">
        <v>44070.336111111108</v>
      </c>
      <c r="D775">
        <v>3</v>
      </c>
      <c r="E775" t="s">
        <v>4</v>
      </c>
      <c r="F775" t="s">
        <v>3</v>
      </c>
      <c r="G775" t="s">
        <v>33</v>
      </c>
      <c r="H775">
        <v>77</v>
      </c>
      <c r="I775">
        <v>6.59</v>
      </c>
      <c r="J775">
        <v>4.09</v>
      </c>
      <c r="K775" t="s">
        <v>15</v>
      </c>
      <c r="L775">
        <v>65</v>
      </c>
      <c r="M775">
        <v>164</v>
      </c>
      <c r="N775">
        <v>98</v>
      </c>
      <c r="O775">
        <v>31</v>
      </c>
      <c r="P775" t="s">
        <v>46</v>
      </c>
    </row>
    <row r="776" spans="1:16" x14ac:dyDescent="0.25">
      <c r="A776">
        <v>785</v>
      </c>
      <c r="B776" s="2">
        <v>44069.661111111112</v>
      </c>
      <c r="C776" s="2">
        <v>44070.340277777781</v>
      </c>
      <c r="D776">
        <v>5</v>
      </c>
      <c r="E776" t="s">
        <v>4</v>
      </c>
      <c r="F776" t="s">
        <v>3</v>
      </c>
      <c r="G776" t="s">
        <v>35</v>
      </c>
      <c r="H776">
        <v>73</v>
      </c>
      <c r="I776">
        <v>3.74</v>
      </c>
      <c r="J776">
        <v>1.0900000000000001</v>
      </c>
      <c r="K776" t="s">
        <v>15</v>
      </c>
      <c r="L776">
        <v>131</v>
      </c>
      <c r="M776">
        <v>171</v>
      </c>
      <c r="N776">
        <v>86</v>
      </c>
      <c r="O776">
        <v>60</v>
      </c>
      <c r="P776" t="s">
        <v>44</v>
      </c>
    </row>
    <row r="777" spans="1:16" x14ac:dyDescent="0.25">
      <c r="A777">
        <v>786</v>
      </c>
      <c r="B777" s="2">
        <v>44068.661111111112</v>
      </c>
      <c r="C777" s="2">
        <v>44070.34375</v>
      </c>
      <c r="D777">
        <v>6</v>
      </c>
      <c r="E777" t="s">
        <v>4</v>
      </c>
      <c r="F777" t="s">
        <v>10</v>
      </c>
      <c r="G777" t="s">
        <v>24</v>
      </c>
      <c r="H777">
        <v>73</v>
      </c>
      <c r="I777">
        <v>3.57</v>
      </c>
      <c r="J777">
        <v>1.31</v>
      </c>
      <c r="K777" t="s">
        <v>15</v>
      </c>
      <c r="L777">
        <v>71</v>
      </c>
      <c r="M777">
        <v>183</v>
      </c>
      <c r="N777">
        <v>70</v>
      </c>
      <c r="O777">
        <v>51</v>
      </c>
      <c r="P777" t="s">
        <v>44</v>
      </c>
    </row>
    <row r="778" spans="1:16" x14ac:dyDescent="0.25">
      <c r="A778">
        <v>787</v>
      </c>
      <c r="B778" s="2">
        <v>44070.293749999997</v>
      </c>
      <c r="C778" s="2">
        <v>44070.565972222219</v>
      </c>
      <c r="D778">
        <v>5</v>
      </c>
      <c r="E778" t="s">
        <v>4</v>
      </c>
      <c r="F778" t="s">
        <v>3</v>
      </c>
      <c r="G778" t="s">
        <v>21</v>
      </c>
      <c r="H778">
        <v>82</v>
      </c>
      <c r="I778">
        <v>13.03</v>
      </c>
      <c r="J778">
        <v>2.85</v>
      </c>
      <c r="K778" t="s">
        <v>15</v>
      </c>
      <c r="L778">
        <v>79</v>
      </c>
      <c r="M778">
        <v>163</v>
      </c>
      <c r="N778">
        <v>75</v>
      </c>
      <c r="O778">
        <v>50</v>
      </c>
      <c r="P778" t="s">
        <v>46</v>
      </c>
    </row>
    <row r="779" spans="1:16" x14ac:dyDescent="0.25">
      <c r="A779">
        <v>788</v>
      </c>
      <c r="B779" s="2">
        <v>44068.5625</v>
      </c>
      <c r="C779" s="2">
        <v>44070.581944444442</v>
      </c>
      <c r="D779">
        <v>3</v>
      </c>
      <c r="E779" t="s">
        <v>6</v>
      </c>
      <c r="F779" t="s">
        <v>10</v>
      </c>
      <c r="G779" t="s">
        <v>33</v>
      </c>
      <c r="H779">
        <v>64</v>
      </c>
      <c r="I779">
        <v>1.23</v>
      </c>
      <c r="J779">
        <v>0.86</v>
      </c>
      <c r="K779" t="s">
        <v>15</v>
      </c>
      <c r="L779">
        <v>71</v>
      </c>
      <c r="M779">
        <v>158</v>
      </c>
      <c r="N779">
        <v>78</v>
      </c>
      <c r="O779">
        <v>75</v>
      </c>
      <c r="P779" t="s">
        <v>44</v>
      </c>
    </row>
    <row r="780" spans="1:16" x14ac:dyDescent="0.25">
      <c r="A780">
        <v>789</v>
      </c>
      <c r="B780" s="2">
        <v>44069.645833333336</v>
      </c>
      <c r="C780" s="2">
        <v>44070.611111111109</v>
      </c>
      <c r="D780">
        <v>6</v>
      </c>
      <c r="E780" t="s">
        <v>4</v>
      </c>
      <c r="F780" t="s">
        <v>10</v>
      </c>
      <c r="G780" t="s">
        <v>24</v>
      </c>
      <c r="H780">
        <v>73</v>
      </c>
      <c r="I780">
        <v>4.9000000000000004</v>
      </c>
      <c r="J780">
        <v>1.71</v>
      </c>
      <c r="K780" t="s">
        <v>15</v>
      </c>
      <c r="L780">
        <v>74</v>
      </c>
      <c r="M780">
        <v>192</v>
      </c>
      <c r="N780">
        <v>94</v>
      </c>
      <c r="O780">
        <v>14</v>
      </c>
      <c r="P780" t="s">
        <v>47</v>
      </c>
    </row>
    <row r="781" spans="1:16" x14ac:dyDescent="0.25">
      <c r="A781">
        <v>790</v>
      </c>
      <c r="B781" s="2">
        <v>44068.679861111108</v>
      </c>
      <c r="C781" s="2">
        <v>44071.336805555555</v>
      </c>
      <c r="D781">
        <v>5</v>
      </c>
      <c r="E781" t="s">
        <v>6</v>
      </c>
      <c r="F781" t="s">
        <v>3</v>
      </c>
      <c r="G781" t="s">
        <v>27</v>
      </c>
      <c r="H781">
        <v>66</v>
      </c>
      <c r="I781">
        <v>2.38</v>
      </c>
      <c r="J781">
        <v>1.22</v>
      </c>
      <c r="K781" t="s">
        <v>15</v>
      </c>
      <c r="L781">
        <v>131</v>
      </c>
      <c r="M781">
        <v>166</v>
      </c>
      <c r="N781">
        <v>51</v>
      </c>
      <c r="O781">
        <v>65</v>
      </c>
      <c r="P781" t="s">
        <v>44</v>
      </c>
    </row>
    <row r="782" spans="1:16" x14ac:dyDescent="0.25">
      <c r="A782">
        <v>791</v>
      </c>
      <c r="B782" s="2">
        <v>44070.665277777778</v>
      </c>
      <c r="C782" s="2">
        <v>44071.34097222222</v>
      </c>
      <c r="D782">
        <v>4</v>
      </c>
      <c r="E782" t="s">
        <v>4</v>
      </c>
      <c r="F782" t="s">
        <v>1</v>
      </c>
      <c r="G782" t="s">
        <v>21</v>
      </c>
      <c r="H782">
        <v>78</v>
      </c>
      <c r="I782">
        <v>4.58</v>
      </c>
      <c r="J782">
        <v>2.95</v>
      </c>
      <c r="K782" t="s">
        <v>15</v>
      </c>
      <c r="L782">
        <v>61</v>
      </c>
      <c r="M782">
        <v>165</v>
      </c>
      <c r="N782">
        <v>81</v>
      </c>
      <c r="O782">
        <v>55</v>
      </c>
      <c r="P782" t="s">
        <v>44</v>
      </c>
    </row>
    <row r="783" spans="1:16" x14ac:dyDescent="0.25">
      <c r="A783">
        <v>792</v>
      </c>
      <c r="B783" s="2">
        <v>44068.95</v>
      </c>
      <c r="C783" s="2">
        <v>44071.510416666664</v>
      </c>
      <c r="D783">
        <v>6</v>
      </c>
      <c r="E783" t="s">
        <v>2</v>
      </c>
      <c r="F783" t="s">
        <v>10</v>
      </c>
      <c r="G783" t="s">
        <v>31</v>
      </c>
      <c r="H783">
        <v>73</v>
      </c>
      <c r="I783">
        <v>23.04</v>
      </c>
      <c r="J783">
        <v>10.51</v>
      </c>
      <c r="K783" t="s">
        <v>15</v>
      </c>
      <c r="L783">
        <v>114</v>
      </c>
      <c r="M783">
        <v>167</v>
      </c>
      <c r="N783">
        <v>104</v>
      </c>
      <c r="O783">
        <v>65</v>
      </c>
      <c r="P783" t="s">
        <v>44</v>
      </c>
    </row>
    <row r="784" spans="1:16" x14ac:dyDescent="0.25">
      <c r="A784">
        <v>793</v>
      </c>
      <c r="B784" s="2">
        <v>44071.296527777777</v>
      </c>
      <c r="C784" s="2">
        <v>44071.604166666664</v>
      </c>
      <c r="D784">
        <v>5</v>
      </c>
      <c r="E784" t="s">
        <v>4</v>
      </c>
      <c r="F784" t="s">
        <v>3</v>
      </c>
      <c r="G784" t="s">
        <v>27</v>
      </c>
      <c r="H784">
        <v>76</v>
      </c>
      <c r="I784">
        <v>4.53</v>
      </c>
      <c r="J784">
        <v>1.19</v>
      </c>
      <c r="K784" t="s">
        <v>15</v>
      </c>
      <c r="L784">
        <v>78</v>
      </c>
      <c r="M784">
        <v>173</v>
      </c>
      <c r="N784">
        <v>70</v>
      </c>
      <c r="O784">
        <v>55</v>
      </c>
      <c r="P784" t="s">
        <v>44</v>
      </c>
    </row>
    <row r="785" spans="1:16" x14ac:dyDescent="0.25">
      <c r="A785">
        <v>794</v>
      </c>
      <c r="B785" s="2">
        <v>44069.583333333336</v>
      </c>
      <c r="C785" s="2">
        <v>44071.631944444445</v>
      </c>
      <c r="D785">
        <v>4</v>
      </c>
      <c r="E785" t="s">
        <v>6</v>
      </c>
      <c r="F785" t="s">
        <v>3</v>
      </c>
      <c r="G785" t="s">
        <v>21</v>
      </c>
      <c r="H785">
        <v>49</v>
      </c>
      <c r="I785">
        <v>2.08</v>
      </c>
      <c r="J785">
        <v>0.95</v>
      </c>
      <c r="K785" t="s">
        <v>15</v>
      </c>
      <c r="L785">
        <v>111</v>
      </c>
      <c r="M785">
        <v>180</v>
      </c>
      <c r="N785">
        <v>84</v>
      </c>
      <c r="O785">
        <v>44</v>
      </c>
      <c r="P785" t="s">
        <v>46</v>
      </c>
    </row>
    <row r="786" spans="1:16" x14ac:dyDescent="0.25">
      <c r="A786">
        <v>795</v>
      </c>
      <c r="B786" s="2">
        <v>44071.65902777778</v>
      </c>
      <c r="C786" s="2">
        <v>44072.333333333336</v>
      </c>
      <c r="D786">
        <v>5</v>
      </c>
      <c r="E786" t="s">
        <v>4</v>
      </c>
      <c r="F786" t="s">
        <v>3</v>
      </c>
      <c r="G786" t="s">
        <v>32</v>
      </c>
      <c r="H786">
        <v>73</v>
      </c>
      <c r="I786">
        <v>10.4</v>
      </c>
      <c r="J786">
        <v>5.58</v>
      </c>
      <c r="K786" t="s">
        <v>15</v>
      </c>
      <c r="L786">
        <v>104</v>
      </c>
      <c r="M786">
        <v>175</v>
      </c>
      <c r="N786">
        <v>88</v>
      </c>
      <c r="O786">
        <v>60</v>
      </c>
      <c r="P786" t="s">
        <v>44</v>
      </c>
    </row>
    <row r="787" spans="1:16" x14ac:dyDescent="0.25">
      <c r="A787">
        <v>796</v>
      </c>
      <c r="B787" s="2">
        <v>44071.666666666664</v>
      </c>
      <c r="C787" s="2">
        <v>44072.334722222222</v>
      </c>
      <c r="D787">
        <v>4</v>
      </c>
      <c r="E787" t="s">
        <v>4</v>
      </c>
      <c r="F787" t="s">
        <v>10</v>
      </c>
      <c r="G787" t="s">
        <v>26</v>
      </c>
      <c r="H787">
        <v>73</v>
      </c>
      <c r="I787">
        <v>3.57</v>
      </c>
      <c r="J787">
        <v>1.46</v>
      </c>
      <c r="K787" t="s">
        <v>15</v>
      </c>
      <c r="L787">
        <v>101</v>
      </c>
      <c r="M787">
        <v>173</v>
      </c>
      <c r="N787">
        <v>86</v>
      </c>
      <c r="O787">
        <v>64</v>
      </c>
      <c r="P787" t="s">
        <v>44</v>
      </c>
    </row>
    <row r="788" spans="1:16" x14ac:dyDescent="0.25">
      <c r="A788">
        <v>797</v>
      </c>
      <c r="B788" s="2">
        <v>44072.297222222223</v>
      </c>
      <c r="C788" s="2">
        <v>44072.444444444445</v>
      </c>
      <c r="D788">
        <v>5</v>
      </c>
      <c r="E788" t="s">
        <v>4</v>
      </c>
      <c r="F788" t="s">
        <v>3</v>
      </c>
      <c r="G788" t="s">
        <v>32</v>
      </c>
      <c r="H788">
        <v>77</v>
      </c>
      <c r="I788">
        <v>18.21</v>
      </c>
      <c r="J788">
        <v>5.24</v>
      </c>
      <c r="K788" t="s">
        <v>15</v>
      </c>
      <c r="L788">
        <v>155</v>
      </c>
      <c r="M788">
        <v>166</v>
      </c>
      <c r="N788">
        <v>96</v>
      </c>
      <c r="O788">
        <v>55</v>
      </c>
      <c r="P788" t="s">
        <v>44</v>
      </c>
    </row>
    <row r="789" spans="1:16" x14ac:dyDescent="0.25">
      <c r="A789">
        <v>798</v>
      </c>
      <c r="B789" s="2">
        <v>44072.290277777778</v>
      </c>
      <c r="C789" s="2">
        <v>44072.522222222222</v>
      </c>
      <c r="D789">
        <v>4</v>
      </c>
      <c r="E789" t="s">
        <v>4</v>
      </c>
      <c r="F789" t="s">
        <v>3</v>
      </c>
      <c r="G789" t="s">
        <v>26</v>
      </c>
      <c r="H789">
        <v>75</v>
      </c>
      <c r="I789">
        <v>4.25</v>
      </c>
      <c r="J789">
        <v>1.03</v>
      </c>
      <c r="K789" t="s">
        <v>15</v>
      </c>
      <c r="L789">
        <v>127</v>
      </c>
      <c r="M789">
        <v>166</v>
      </c>
      <c r="N789">
        <v>92</v>
      </c>
      <c r="O789">
        <v>14</v>
      </c>
      <c r="P789" t="s">
        <v>47</v>
      </c>
    </row>
    <row r="790" spans="1:16" x14ac:dyDescent="0.25">
      <c r="A790">
        <v>799</v>
      </c>
      <c r="B790" s="2">
        <v>44064.458333333336</v>
      </c>
      <c r="C790" s="2">
        <v>44072.609722222223</v>
      </c>
      <c r="D790">
        <v>5</v>
      </c>
      <c r="E790" t="s">
        <v>6</v>
      </c>
      <c r="F790" t="s">
        <v>11</v>
      </c>
      <c r="G790" t="s">
        <v>32</v>
      </c>
      <c r="H790">
        <v>81</v>
      </c>
      <c r="I790">
        <v>15.08</v>
      </c>
      <c r="J790">
        <v>9.1999999999999993</v>
      </c>
      <c r="K790" t="s">
        <v>15</v>
      </c>
      <c r="L790">
        <v>75</v>
      </c>
      <c r="M790">
        <v>183</v>
      </c>
      <c r="N790">
        <v>83</v>
      </c>
      <c r="O790">
        <v>65</v>
      </c>
      <c r="P790" t="s">
        <v>44</v>
      </c>
    </row>
    <row r="791" spans="1:16" x14ac:dyDescent="0.25">
      <c r="A791">
        <v>800</v>
      </c>
      <c r="B791" s="2">
        <v>44073.583333333336</v>
      </c>
      <c r="C791" s="2">
        <v>44075.34375</v>
      </c>
      <c r="D791">
        <v>2</v>
      </c>
      <c r="E791" t="s">
        <v>6</v>
      </c>
      <c r="F791" t="s">
        <v>11</v>
      </c>
      <c r="G791" t="s">
        <v>29</v>
      </c>
      <c r="H791">
        <v>73</v>
      </c>
      <c r="I791">
        <v>3.74</v>
      </c>
      <c r="J791">
        <v>2.5499999999999998</v>
      </c>
      <c r="K791" t="s">
        <v>15</v>
      </c>
      <c r="L791">
        <v>77</v>
      </c>
      <c r="M791">
        <v>153</v>
      </c>
      <c r="N791">
        <v>63</v>
      </c>
      <c r="O791">
        <v>47</v>
      </c>
      <c r="P791" t="s">
        <v>46</v>
      </c>
    </row>
    <row r="792" spans="1:16" x14ac:dyDescent="0.25">
      <c r="A792">
        <v>802</v>
      </c>
      <c r="B792" s="2">
        <v>44052.416666666664</v>
      </c>
      <c r="C792" s="2">
        <v>44075.347222222219</v>
      </c>
      <c r="D792">
        <v>4</v>
      </c>
      <c r="E792" t="s">
        <v>4</v>
      </c>
      <c r="F792" t="s">
        <v>3</v>
      </c>
      <c r="G792" t="s">
        <v>35</v>
      </c>
      <c r="H792">
        <v>47</v>
      </c>
      <c r="I792">
        <v>3.37</v>
      </c>
      <c r="J792">
        <v>1.29</v>
      </c>
      <c r="K792" t="s">
        <v>15</v>
      </c>
      <c r="L792">
        <v>101</v>
      </c>
      <c r="M792">
        <v>180</v>
      </c>
      <c r="N792">
        <v>82</v>
      </c>
      <c r="O792">
        <v>45</v>
      </c>
      <c r="P792" t="s">
        <v>46</v>
      </c>
    </row>
    <row r="793" spans="1:16" x14ac:dyDescent="0.25">
      <c r="A793">
        <v>803</v>
      </c>
      <c r="B793" s="2">
        <v>44075.322916666664</v>
      </c>
      <c r="C793" s="2">
        <v>44075.577777777777</v>
      </c>
      <c r="D793">
        <v>5</v>
      </c>
      <c r="E793" t="s">
        <v>4</v>
      </c>
      <c r="F793" t="s">
        <v>10</v>
      </c>
      <c r="G793" t="s">
        <v>26</v>
      </c>
      <c r="H793">
        <v>60</v>
      </c>
      <c r="I793">
        <v>3.79</v>
      </c>
      <c r="J793">
        <v>3.25</v>
      </c>
      <c r="K793" t="s">
        <v>15</v>
      </c>
      <c r="L793">
        <v>69</v>
      </c>
      <c r="M793">
        <v>182</v>
      </c>
      <c r="N793">
        <v>112</v>
      </c>
      <c r="O793">
        <v>45</v>
      </c>
      <c r="P793" t="s">
        <v>46</v>
      </c>
    </row>
    <row r="794" spans="1:16" x14ac:dyDescent="0.25">
      <c r="A794">
        <v>804</v>
      </c>
      <c r="B794" s="2">
        <v>44075.663888888892</v>
      </c>
      <c r="C794" s="2">
        <v>44076.333333333336</v>
      </c>
      <c r="D794">
        <v>5</v>
      </c>
      <c r="E794" t="s">
        <v>4</v>
      </c>
      <c r="F794" t="s">
        <v>3</v>
      </c>
      <c r="G794" t="s">
        <v>33</v>
      </c>
      <c r="H794">
        <v>66</v>
      </c>
      <c r="I794">
        <v>3.57</v>
      </c>
      <c r="J794">
        <v>0.81</v>
      </c>
      <c r="K794" t="s">
        <v>15</v>
      </c>
      <c r="L794">
        <v>82</v>
      </c>
      <c r="M794">
        <v>172</v>
      </c>
      <c r="N794">
        <v>96</v>
      </c>
      <c r="O794">
        <v>65</v>
      </c>
      <c r="P794" t="s">
        <v>44</v>
      </c>
    </row>
    <row r="795" spans="1:16" x14ac:dyDescent="0.25">
      <c r="A795">
        <v>805</v>
      </c>
      <c r="B795" s="2">
        <v>44075.666666666664</v>
      </c>
      <c r="C795" s="2">
        <v>44076.345138888886</v>
      </c>
      <c r="D795">
        <v>2</v>
      </c>
      <c r="E795" t="s">
        <v>4</v>
      </c>
      <c r="F795" t="s">
        <v>3</v>
      </c>
      <c r="G795" t="s">
        <v>28</v>
      </c>
      <c r="H795">
        <v>60</v>
      </c>
      <c r="I795">
        <v>1.61</v>
      </c>
      <c r="J795">
        <v>0.5</v>
      </c>
      <c r="K795" t="s">
        <v>15</v>
      </c>
      <c r="L795">
        <v>85</v>
      </c>
      <c r="M795">
        <v>170</v>
      </c>
      <c r="N795">
        <v>93</v>
      </c>
      <c r="O795">
        <v>45</v>
      </c>
      <c r="P795" t="s">
        <v>46</v>
      </c>
    </row>
    <row r="796" spans="1:16" x14ac:dyDescent="0.25">
      <c r="A796">
        <v>806</v>
      </c>
      <c r="B796" s="2">
        <v>44075.666666666664</v>
      </c>
      <c r="C796" s="2">
        <v>44076.356249999997</v>
      </c>
      <c r="D796">
        <v>6</v>
      </c>
      <c r="E796" t="s">
        <v>4</v>
      </c>
      <c r="F796" t="s">
        <v>3</v>
      </c>
      <c r="G796" t="s">
        <v>32</v>
      </c>
      <c r="H796">
        <v>64</v>
      </c>
      <c r="I796">
        <v>2.09</v>
      </c>
      <c r="J796">
        <v>0.75</v>
      </c>
      <c r="K796" t="s">
        <v>15</v>
      </c>
      <c r="L796">
        <v>71</v>
      </c>
      <c r="M796">
        <v>171</v>
      </c>
      <c r="N796">
        <v>80</v>
      </c>
      <c r="O796">
        <v>55</v>
      </c>
      <c r="P796" t="s">
        <v>44</v>
      </c>
    </row>
    <row r="797" spans="1:16" x14ac:dyDescent="0.25">
      <c r="A797">
        <v>807</v>
      </c>
      <c r="B797" s="2">
        <v>44070.679166666669</v>
      </c>
      <c r="C797" s="2">
        <v>44076.364583333336</v>
      </c>
      <c r="D797">
        <v>4</v>
      </c>
      <c r="E797" t="s">
        <v>6</v>
      </c>
      <c r="F797" t="s">
        <v>10</v>
      </c>
      <c r="G797" t="s">
        <v>31</v>
      </c>
      <c r="H797">
        <v>78</v>
      </c>
      <c r="I797">
        <v>49.2</v>
      </c>
      <c r="J797">
        <v>13.95</v>
      </c>
      <c r="K797" t="s">
        <v>15</v>
      </c>
      <c r="L797">
        <v>64</v>
      </c>
      <c r="M797">
        <v>166</v>
      </c>
      <c r="N797">
        <v>70</v>
      </c>
      <c r="O797">
        <v>54</v>
      </c>
      <c r="P797" t="s">
        <v>44</v>
      </c>
    </row>
    <row r="798" spans="1:16" x14ac:dyDescent="0.25">
      <c r="A798">
        <v>808</v>
      </c>
      <c r="B798" s="2">
        <v>44076.296527777777</v>
      </c>
      <c r="C798" s="2">
        <v>44076.503472222219</v>
      </c>
      <c r="D798">
        <v>6</v>
      </c>
      <c r="E798" t="s">
        <v>4</v>
      </c>
      <c r="F798" t="s">
        <v>11</v>
      </c>
      <c r="G798" t="s">
        <v>32</v>
      </c>
      <c r="H798">
        <v>82</v>
      </c>
      <c r="I798">
        <v>8.9700000000000006</v>
      </c>
      <c r="J798">
        <v>5.07</v>
      </c>
      <c r="K798" t="s">
        <v>13</v>
      </c>
      <c r="L798">
        <v>135</v>
      </c>
      <c r="M798">
        <v>177</v>
      </c>
      <c r="N798">
        <v>85</v>
      </c>
      <c r="O798">
        <v>45</v>
      </c>
      <c r="P798" t="s">
        <v>46</v>
      </c>
    </row>
    <row r="799" spans="1:16" x14ac:dyDescent="0.25">
      <c r="A799">
        <v>809</v>
      </c>
      <c r="B799" s="2">
        <v>44076.295138888891</v>
      </c>
      <c r="C799" s="2">
        <v>44076.537499999999</v>
      </c>
      <c r="D799">
        <v>4</v>
      </c>
      <c r="E799" t="s">
        <v>4</v>
      </c>
      <c r="F799" t="s">
        <v>3</v>
      </c>
      <c r="G799" t="s">
        <v>31</v>
      </c>
      <c r="H799">
        <v>62</v>
      </c>
      <c r="I799">
        <v>2.5299999999999998</v>
      </c>
      <c r="J799">
        <v>0.89</v>
      </c>
      <c r="K799" t="s">
        <v>15</v>
      </c>
      <c r="L799">
        <v>61</v>
      </c>
      <c r="M799">
        <v>178</v>
      </c>
      <c r="N799">
        <v>90</v>
      </c>
      <c r="O799">
        <v>45</v>
      </c>
      <c r="P799" t="s">
        <v>46</v>
      </c>
    </row>
    <row r="800" spans="1:16" x14ac:dyDescent="0.25">
      <c r="A800">
        <v>810</v>
      </c>
      <c r="B800" s="2">
        <v>44076.329861111109</v>
      </c>
      <c r="C800" s="2">
        <v>44076.5625</v>
      </c>
      <c r="D800">
        <v>5</v>
      </c>
      <c r="E800" t="s">
        <v>4</v>
      </c>
      <c r="F800" t="s">
        <v>10</v>
      </c>
      <c r="G800" t="s">
        <v>33</v>
      </c>
      <c r="H800">
        <v>75</v>
      </c>
      <c r="I800">
        <v>7.03</v>
      </c>
      <c r="J800">
        <v>4.2300000000000004</v>
      </c>
      <c r="K800" t="s">
        <v>15</v>
      </c>
      <c r="L800">
        <v>65</v>
      </c>
      <c r="M800">
        <v>170</v>
      </c>
      <c r="N800">
        <v>83</v>
      </c>
      <c r="O800">
        <v>55</v>
      </c>
      <c r="P800" t="s">
        <v>44</v>
      </c>
    </row>
    <row r="801" spans="1:16" x14ac:dyDescent="0.25">
      <c r="A801">
        <v>811</v>
      </c>
      <c r="B801" s="2">
        <v>44075.707638888889</v>
      </c>
      <c r="C801" s="2">
        <v>44076.675694444442</v>
      </c>
      <c r="D801">
        <v>1</v>
      </c>
      <c r="E801" t="s">
        <v>2</v>
      </c>
      <c r="F801" t="s">
        <v>3</v>
      </c>
      <c r="G801" t="s">
        <v>30</v>
      </c>
      <c r="H801">
        <v>31</v>
      </c>
      <c r="I801">
        <v>1.78</v>
      </c>
      <c r="J801">
        <v>1</v>
      </c>
      <c r="K801" t="s">
        <v>15</v>
      </c>
      <c r="L801">
        <v>75</v>
      </c>
      <c r="M801">
        <v>164</v>
      </c>
      <c r="N801">
        <v>58</v>
      </c>
      <c r="O801">
        <v>35</v>
      </c>
      <c r="P801" t="s">
        <v>46</v>
      </c>
    </row>
    <row r="802" spans="1:16" x14ac:dyDescent="0.25">
      <c r="A802">
        <v>812</v>
      </c>
      <c r="B802" s="2">
        <v>44076.615277777775</v>
      </c>
      <c r="C802" s="2">
        <v>44077.343055555553</v>
      </c>
      <c r="D802">
        <v>5</v>
      </c>
      <c r="E802" t="s">
        <v>4</v>
      </c>
      <c r="F802" t="s">
        <v>3</v>
      </c>
      <c r="G802" t="s">
        <v>32</v>
      </c>
      <c r="H802">
        <v>71</v>
      </c>
      <c r="I802">
        <v>21.47</v>
      </c>
      <c r="J802">
        <v>4.03</v>
      </c>
      <c r="K802" t="s">
        <v>15</v>
      </c>
      <c r="L802">
        <v>98</v>
      </c>
      <c r="M802">
        <v>183</v>
      </c>
      <c r="N802">
        <v>70</v>
      </c>
      <c r="O802">
        <v>62</v>
      </c>
      <c r="P802" t="s">
        <v>44</v>
      </c>
    </row>
    <row r="803" spans="1:16" x14ac:dyDescent="0.25">
      <c r="A803">
        <v>813</v>
      </c>
      <c r="B803" s="2">
        <v>44076.631944444445</v>
      </c>
      <c r="C803" s="2">
        <v>44077.34375</v>
      </c>
      <c r="D803">
        <v>3</v>
      </c>
      <c r="E803" t="s">
        <v>4</v>
      </c>
      <c r="F803" t="s">
        <v>3</v>
      </c>
      <c r="G803" t="s">
        <v>33</v>
      </c>
      <c r="H803">
        <v>65</v>
      </c>
      <c r="I803">
        <v>3.07</v>
      </c>
      <c r="J803">
        <v>4.08</v>
      </c>
      <c r="K803" t="s">
        <v>15</v>
      </c>
      <c r="L803">
        <v>97</v>
      </c>
      <c r="M803">
        <v>164</v>
      </c>
      <c r="N803">
        <v>107</v>
      </c>
      <c r="O803">
        <v>60</v>
      </c>
      <c r="P803" t="s">
        <v>44</v>
      </c>
    </row>
    <row r="804" spans="1:16" x14ac:dyDescent="0.25">
      <c r="A804">
        <v>814</v>
      </c>
      <c r="B804" s="2">
        <v>44077.296527777777</v>
      </c>
      <c r="C804" s="2">
        <v>44077.484027777777</v>
      </c>
      <c r="D804">
        <v>5</v>
      </c>
      <c r="E804" t="s">
        <v>4</v>
      </c>
      <c r="F804" t="s">
        <v>3</v>
      </c>
      <c r="G804" t="s">
        <v>32</v>
      </c>
      <c r="H804">
        <v>57</v>
      </c>
      <c r="I804">
        <v>1.51</v>
      </c>
      <c r="J804">
        <v>0.56000000000000005</v>
      </c>
      <c r="K804" t="s">
        <v>15</v>
      </c>
      <c r="L804">
        <v>65</v>
      </c>
      <c r="M804">
        <v>175</v>
      </c>
      <c r="N804">
        <v>90</v>
      </c>
      <c r="O804">
        <v>45</v>
      </c>
      <c r="P804" t="s">
        <v>46</v>
      </c>
    </row>
    <row r="805" spans="1:16" x14ac:dyDescent="0.25">
      <c r="A805">
        <v>815</v>
      </c>
      <c r="B805" s="2">
        <v>44077.294444444444</v>
      </c>
      <c r="C805" s="2">
        <v>44077.585416666669</v>
      </c>
      <c r="D805">
        <v>3</v>
      </c>
      <c r="E805" t="s">
        <v>4</v>
      </c>
      <c r="F805" t="s">
        <v>3</v>
      </c>
      <c r="G805" t="s">
        <v>33</v>
      </c>
      <c r="H805">
        <v>58</v>
      </c>
      <c r="I805">
        <v>2.08</v>
      </c>
      <c r="J805">
        <v>1.62</v>
      </c>
      <c r="K805" t="s">
        <v>15</v>
      </c>
      <c r="L805">
        <v>79</v>
      </c>
      <c r="M805">
        <v>165</v>
      </c>
      <c r="N805">
        <v>70</v>
      </c>
      <c r="O805">
        <v>65</v>
      </c>
      <c r="P805" t="s">
        <v>44</v>
      </c>
    </row>
    <row r="806" spans="1:16" x14ac:dyDescent="0.25">
      <c r="A806">
        <v>816</v>
      </c>
      <c r="B806" s="2">
        <v>44077.3</v>
      </c>
      <c r="C806" s="2">
        <v>44077.611111111109</v>
      </c>
      <c r="D806">
        <v>5</v>
      </c>
      <c r="E806" t="s">
        <v>4</v>
      </c>
      <c r="F806" t="s">
        <v>11</v>
      </c>
      <c r="G806" t="s">
        <v>32</v>
      </c>
      <c r="H806">
        <v>77</v>
      </c>
      <c r="I806">
        <v>28.42</v>
      </c>
      <c r="J806">
        <v>13.06</v>
      </c>
      <c r="K806" t="s">
        <v>15</v>
      </c>
      <c r="L806">
        <v>106</v>
      </c>
      <c r="M806">
        <v>155</v>
      </c>
      <c r="N806">
        <v>53</v>
      </c>
      <c r="O806">
        <v>62</v>
      </c>
      <c r="P806" t="s">
        <v>44</v>
      </c>
    </row>
    <row r="807" spans="1:16" x14ac:dyDescent="0.25">
      <c r="A807">
        <v>817</v>
      </c>
      <c r="B807" s="2">
        <v>44074.583333333336</v>
      </c>
      <c r="C807" s="2">
        <v>44078.34097222222</v>
      </c>
      <c r="D807">
        <v>2</v>
      </c>
      <c r="E807" t="s">
        <v>6</v>
      </c>
      <c r="F807" t="s">
        <v>10</v>
      </c>
      <c r="G807" t="s">
        <v>31</v>
      </c>
      <c r="H807">
        <v>63</v>
      </c>
      <c r="I807">
        <v>2.96</v>
      </c>
      <c r="J807">
        <v>1.32</v>
      </c>
      <c r="K807" t="s">
        <v>15</v>
      </c>
      <c r="L807">
        <v>103</v>
      </c>
      <c r="M807">
        <v>170</v>
      </c>
      <c r="N807">
        <v>70</v>
      </c>
      <c r="O807">
        <v>66</v>
      </c>
      <c r="P807" t="s">
        <v>44</v>
      </c>
    </row>
    <row r="808" spans="1:16" x14ac:dyDescent="0.25">
      <c r="A808">
        <v>818</v>
      </c>
      <c r="B808" s="2">
        <v>44077.621527777781</v>
      </c>
      <c r="C808" s="2">
        <v>44078.34375</v>
      </c>
      <c r="D808">
        <v>5</v>
      </c>
      <c r="E808" t="s">
        <v>4</v>
      </c>
      <c r="F808" t="s">
        <v>1</v>
      </c>
      <c r="G808" t="s">
        <v>27</v>
      </c>
      <c r="H808">
        <v>44</v>
      </c>
      <c r="I808">
        <v>6.35</v>
      </c>
      <c r="J808">
        <v>2.04</v>
      </c>
      <c r="K808" t="s">
        <v>15</v>
      </c>
      <c r="L808">
        <v>74</v>
      </c>
      <c r="M808">
        <v>178</v>
      </c>
      <c r="N808">
        <v>68</v>
      </c>
      <c r="O808">
        <v>57</v>
      </c>
      <c r="P808" t="s">
        <v>44</v>
      </c>
    </row>
    <row r="809" spans="1:16" x14ac:dyDescent="0.25">
      <c r="A809">
        <v>819</v>
      </c>
      <c r="B809" s="2">
        <v>44074.669444444444</v>
      </c>
      <c r="C809" s="2">
        <v>44078.35</v>
      </c>
      <c r="D809">
        <v>4</v>
      </c>
      <c r="E809" t="s">
        <v>4</v>
      </c>
      <c r="F809" t="s">
        <v>3</v>
      </c>
      <c r="G809" t="s">
        <v>35</v>
      </c>
      <c r="H809">
        <v>71</v>
      </c>
      <c r="I809">
        <v>6.71</v>
      </c>
      <c r="J809">
        <v>1.1499999999999999</v>
      </c>
      <c r="K809" t="s">
        <v>15</v>
      </c>
      <c r="L809">
        <v>68</v>
      </c>
      <c r="M809">
        <v>176</v>
      </c>
      <c r="N809">
        <v>92</v>
      </c>
      <c r="O809">
        <v>63</v>
      </c>
      <c r="P809" t="s">
        <v>44</v>
      </c>
    </row>
    <row r="810" spans="1:16" x14ac:dyDescent="0.25">
      <c r="A810">
        <v>820</v>
      </c>
      <c r="B810" s="2">
        <v>44064.458333333336</v>
      </c>
      <c r="C810" s="2">
        <v>44078.583333333336</v>
      </c>
      <c r="D810">
        <v>4</v>
      </c>
      <c r="E810" t="s">
        <v>6</v>
      </c>
      <c r="F810" t="s">
        <v>10</v>
      </c>
      <c r="G810" t="s">
        <v>31</v>
      </c>
      <c r="H810">
        <v>79</v>
      </c>
      <c r="I810">
        <v>13.2</v>
      </c>
      <c r="J810">
        <v>6.61</v>
      </c>
      <c r="K810" t="s">
        <v>15</v>
      </c>
      <c r="L810">
        <v>81</v>
      </c>
      <c r="M810">
        <v>150</v>
      </c>
      <c r="N810">
        <v>71</v>
      </c>
      <c r="O810">
        <v>45</v>
      </c>
      <c r="P810" t="s">
        <v>46</v>
      </c>
    </row>
    <row r="811" spans="1:16" x14ac:dyDescent="0.25">
      <c r="A811">
        <v>821</v>
      </c>
      <c r="B811" s="2">
        <v>44067.488888888889</v>
      </c>
      <c r="C811" s="2">
        <v>44078.600694444445</v>
      </c>
      <c r="D811">
        <v>5</v>
      </c>
      <c r="E811" t="s">
        <v>6</v>
      </c>
      <c r="F811" t="s">
        <v>10</v>
      </c>
      <c r="G811" t="s">
        <v>27</v>
      </c>
      <c r="H811">
        <v>78</v>
      </c>
      <c r="I811">
        <v>4.58</v>
      </c>
      <c r="J811">
        <v>2.1</v>
      </c>
      <c r="K811" t="s">
        <v>15</v>
      </c>
      <c r="L811">
        <v>118</v>
      </c>
      <c r="M811">
        <v>170</v>
      </c>
      <c r="N811">
        <v>102</v>
      </c>
      <c r="O811">
        <v>33</v>
      </c>
      <c r="P811" t="s">
        <v>46</v>
      </c>
    </row>
    <row r="812" spans="1:16" x14ac:dyDescent="0.25">
      <c r="A812">
        <v>822</v>
      </c>
      <c r="B812" s="2">
        <v>44078.618055555555</v>
      </c>
      <c r="C812" s="2">
        <v>44078.930555555555</v>
      </c>
      <c r="D812">
        <v>1</v>
      </c>
      <c r="E812" t="s">
        <v>2</v>
      </c>
      <c r="F812" t="s">
        <v>10</v>
      </c>
      <c r="G812" t="s">
        <v>28</v>
      </c>
      <c r="H812">
        <v>80</v>
      </c>
      <c r="I812">
        <v>48.39</v>
      </c>
      <c r="J812">
        <v>16.52</v>
      </c>
      <c r="K812" t="s">
        <v>15</v>
      </c>
      <c r="L812">
        <v>131</v>
      </c>
      <c r="M812">
        <v>166</v>
      </c>
      <c r="N812">
        <v>94</v>
      </c>
      <c r="O812">
        <v>42</v>
      </c>
      <c r="P812" t="s">
        <v>46</v>
      </c>
    </row>
    <row r="813" spans="1:16" x14ac:dyDescent="0.25">
      <c r="A813">
        <v>823</v>
      </c>
      <c r="B813" s="2">
        <v>44078.664583333331</v>
      </c>
      <c r="C813" s="2">
        <v>44079.333333333336</v>
      </c>
      <c r="D813">
        <v>5</v>
      </c>
      <c r="E813" t="s">
        <v>4</v>
      </c>
      <c r="F813" t="s">
        <v>3</v>
      </c>
      <c r="G813" t="s">
        <v>33</v>
      </c>
      <c r="H813">
        <v>77</v>
      </c>
      <c r="I813">
        <v>7.67</v>
      </c>
      <c r="J813">
        <v>1.0900000000000001</v>
      </c>
      <c r="K813" t="s">
        <v>15</v>
      </c>
      <c r="L813">
        <v>86</v>
      </c>
      <c r="M813">
        <v>166</v>
      </c>
      <c r="N813">
        <v>77</v>
      </c>
      <c r="O813">
        <v>55</v>
      </c>
      <c r="P813" t="s">
        <v>44</v>
      </c>
    </row>
    <row r="814" spans="1:16" x14ac:dyDescent="0.25">
      <c r="A814">
        <v>824</v>
      </c>
      <c r="B814" s="2">
        <v>44079.291666666664</v>
      </c>
      <c r="C814" s="2">
        <v>44079.51458333333</v>
      </c>
      <c r="D814">
        <v>5</v>
      </c>
      <c r="E814" t="s">
        <v>4</v>
      </c>
      <c r="F814" t="s">
        <v>3</v>
      </c>
      <c r="G814" t="s">
        <v>33</v>
      </c>
      <c r="H814">
        <v>78</v>
      </c>
      <c r="I814">
        <v>10.29</v>
      </c>
      <c r="J814">
        <v>2.5499999999999998</v>
      </c>
      <c r="K814" t="s">
        <v>15</v>
      </c>
      <c r="L814">
        <v>68</v>
      </c>
      <c r="M814">
        <v>154</v>
      </c>
      <c r="N814">
        <v>44</v>
      </c>
      <c r="O814">
        <v>58</v>
      </c>
      <c r="P814" t="s">
        <v>44</v>
      </c>
    </row>
    <row r="815" spans="1:16" x14ac:dyDescent="0.25">
      <c r="A815">
        <v>825</v>
      </c>
      <c r="B815" s="2">
        <v>44080.666666666664</v>
      </c>
      <c r="C815" s="2">
        <v>44081.343055555553</v>
      </c>
      <c r="D815">
        <v>5</v>
      </c>
      <c r="E815" t="s">
        <v>4</v>
      </c>
      <c r="F815" t="s">
        <v>3</v>
      </c>
      <c r="G815" t="s">
        <v>33</v>
      </c>
      <c r="H815">
        <v>81</v>
      </c>
      <c r="I815">
        <v>6.21</v>
      </c>
      <c r="J815">
        <v>2.98</v>
      </c>
      <c r="K815" t="s">
        <v>15</v>
      </c>
      <c r="L815">
        <v>107</v>
      </c>
      <c r="M815">
        <v>158</v>
      </c>
      <c r="N815">
        <v>86</v>
      </c>
      <c r="O815">
        <v>60</v>
      </c>
      <c r="P815" t="s">
        <v>44</v>
      </c>
    </row>
    <row r="816" spans="1:16" x14ac:dyDescent="0.25">
      <c r="A816">
        <v>826</v>
      </c>
      <c r="B816" s="2">
        <v>44080.666666666664</v>
      </c>
      <c r="C816" s="2">
        <v>44081.345138888886</v>
      </c>
      <c r="D816">
        <v>4</v>
      </c>
      <c r="E816" t="s">
        <v>4</v>
      </c>
      <c r="F816" t="s">
        <v>11</v>
      </c>
      <c r="G816" t="s">
        <v>29</v>
      </c>
      <c r="H816">
        <v>83</v>
      </c>
      <c r="I816">
        <v>7.03</v>
      </c>
      <c r="J816">
        <v>2.21</v>
      </c>
      <c r="K816" t="s">
        <v>15</v>
      </c>
      <c r="L816">
        <v>84</v>
      </c>
      <c r="M816">
        <v>179</v>
      </c>
      <c r="N816">
        <v>69</v>
      </c>
      <c r="O816">
        <v>60</v>
      </c>
      <c r="P816" t="s">
        <v>44</v>
      </c>
    </row>
    <row r="817" spans="1:16" x14ac:dyDescent="0.25">
      <c r="A817">
        <v>827</v>
      </c>
      <c r="B817" s="2">
        <v>44080.666666666664</v>
      </c>
      <c r="C817" s="2">
        <v>44081.34652777778</v>
      </c>
      <c r="D817">
        <v>2</v>
      </c>
      <c r="E817" t="s">
        <v>4</v>
      </c>
      <c r="F817" t="s">
        <v>8</v>
      </c>
      <c r="G817" t="s">
        <v>32</v>
      </c>
      <c r="H817">
        <v>78</v>
      </c>
      <c r="I817">
        <v>3.06</v>
      </c>
      <c r="J817">
        <v>3.32</v>
      </c>
      <c r="K817" t="s">
        <v>15</v>
      </c>
      <c r="L817">
        <v>77</v>
      </c>
      <c r="M817">
        <v>170</v>
      </c>
      <c r="N817">
        <v>70</v>
      </c>
      <c r="O817">
        <v>55</v>
      </c>
      <c r="P817" t="s">
        <v>44</v>
      </c>
    </row>
    <row r="818" spans="1:16" x14ac:dyDescent="0.25">
      <c r="A818">
        <v>828</v>
      </c>
      <c r="B818" s="2">
        <v>44079.583333333336</v>
      </c>
      <c r="C818" s="2">
        <v>44081.350694444445</v>
      </c>
      <c r="D818">
        <v>6</v>
      </c>
      <c r="E818" t="s">
        <v>6</v>
      </c>
      <c r="F818" t="s">
        <v>10</v>
      </c>
      <c r="G818" t="s">
        <v>36</v>
      </c>
      <c r="H818">
        <v>72</v>
      </c>
      <c r="I818">
        <v>10.85</v>
      </c>
      <c r="J818">
        <v>3.61</v>
      </c>
      <c r="K818" t="s">
        <v>15</v>
      </c>
      <c r="L818">
        <v>65</v>
      </c>
      <c r="M818">
        <v>175</v>
      </c>
      <c r="N818">
        <v>75</v>
      </c>
      <c r="O818">
        <v>60</v>
      </c>
      <c r="P818" t="s">
        <v>44</v>
      </c>
    </row>
    <row r="819" spans="1:16" x14ac:dyDescent="0.25">
      <c r="A819">
        <v>829</v>
      </c>
      <c r="B819" s="2">
        <v>44081.291666666664</v>
      </c>
      <c r="C819" s="2">
        <v>44081.509722222225</v>
      </c>
      <c r="D819">
        <v>2</v>
      </c>
      <c r="E819" t="s">
        <v>4</v>
      </c>
      <c r="F819" t="s">
        <v>1</v>
      </c>
      <c r="G819" t="s">
        <v>32</v>
      </c>
      <c r="H819">
        <v>75</v>
      </c>
      <c r="I819">
        <v>27.84</v>
      </c>
      <c r="J819">
        <v>10.58</v>
      </c>
      <c r="K819" t="s">
        <v>15</v>
      </c>
      <c r="L819">
        <v>81</v>
      </c>
      <c r="M819">
        <v>159</v>
      </c>
      <c r="N819">
        <v>70</v>
      </c>
      <c r="O819">
        <v>55</v>
      </c>
      <c r="P819" t="s">
        <v>44</v>
      </c>
    </row>
    <row r="820" spans="1:16" x14ac:dyDescent="0.25">
      <c r="A820">
        <v>830</v>
      </c>
      <c r="B820" s="2">
        <v>44068.591666666667</v>
      </c>
      <c r="C820" s="2">
        <v>44081.538194444445</v>
      </c>
      <c r="D820">
        <v>5</v>
      </c>
      <c r="E820" t="s">
        <v>6</v>
      </c>
      <c r="F820" t="s">
        <v>10</v>
      </c>
      <c r="G820" t="s">
        <v>31</v>
      </c>
      <c r="H820">
        <v>79</v>
      </c>
      <c r="I820">
        <v>8.1300000000000008</v>
      </c>
      <c r="J820">
        <v>2.5099999999999998</v>
      </c>
      <c r="K820" t="s">
        <v>15</v>
      </c>
      <c r="L820">
        <v>64</v>
      </c>
      <c r="M820">
        <v>170</v>
      </c>
      <c r="N820">
        <v>78</v>
      </c>
      <c r="O820">
        <v>65</v>
      </c>
      <c r="P820" t="s">
        <v>44</v>
      </c>
    </row>
    <row r="821" spans="1:16" x14ac:dyDescent="0.25">
      <c r="A821">
        <v>831</v>
      </c>
      <c r="B821" s="2">
        <v>44081.25</v>
      </c>
      <c r="C821" s="2">
        <v>44081.638888888891</v>
      </c>
      <c r="D821">
        <v>6</v>
      </c>
      <c r="E821" t="s">
        <v>4</v>
      </c>
      <c r="F821" t="s">
        <v>10</v>
      </c>
      <c r="G821" t="s">
        <v>29</v>
      </c>
      <c r="H821">
        <v>56</v>
      </c>
      <c r="I821">
        <v>1.33</v>
      </c>
      <c r="J821">
        <v>0.92</v>
      </c>
      <c r="K821" t="s">
        <v>15</v>
      </c>
      <c r="L821">
        <v>142</v>
      </c>
      <c r="M821">
        <v>175</v>
      </c>
      <c r="N821">
        <v>90</v>
      </c>
      <c r="O821">
        <v>57</v>
      </c>
      <c r="P821" t="s">
        <v>44</v>
      </c>
    </row>
    <row r="822" spans="1:16" x14ac:dyDescent="0.25">
      <c r="A822">
        <v>832</v>
      </c>
      <c r="B822" s="2">
        <v>44081.674305555556</v>
      </c>
      <c r="C822" s="2">
        <v>44082.334027777775</v>
      </c>
      <c r="D822">
        <v>2</v>
      </c>
      <c r="E822" t="s">
        <v>4</v>
      </c>
      <c r="F822" t="s">
        <v>3</v>
      </c>
      <c r="G822" t="s">
        <v>28</v>
      </c>
      <c r="H822">
        <v>58</v>
      </c>
      <c r="I822">
        <v>9.4</v>
      </c>
      <c r="J822">
        <v>2.76</v>
      </c>
      <c r="K822" t="s">
        <v>15</v>
      </c>
      <c r="L822">
        <v>80</v>
      </c>
      <c r="M822">
        <v>169</v>
      </c>
      <c r="N822">
        <v>74</v>
      </c>
      <c r="O822">
        <v>54</v>
      </c>
      <c r="P822" t="s">
        <v>44</v>
      </c>
    </row>
    <row r="823" spans="1:16" x14ac:dyDescent="0.25">
      <c r="A823">
        <v>833</v>
      </c>
      <c r="B823" s="2">
        <v>44081.670138888891</v>
      </c>
      <c r="C823" s="2">
        <v>44082.341666666667</v>
      </c>
      <c r="D823">
        <v>5</v>
      </c>
      <c r="E823" t="s">
        <v>4</v>
      </c>
      <c r="F823" t="s">
        <v>3</v>
      </c>
      <c r="G823" t="s">
        <v>26</v>
      </c>
      <c r="H823">
        <v>80</v>
      </c>
      <c r="I823">
        <v>9.2100000000000009</v>
      </c>
      <c r="J823">
        <v>1.92</v>
      </c>
      <c r="K823" t="s">
        <v>15</v>
      </c>
      <c r="L823">
        <v>82</v>
      </c>
      <c r="M823">
        <v>170</v>
      </c>
      <c r="N823">
        <v>101</v>
      </c>
      <c r="O823">
        <v>25</v>
      </c>
      <c r="P823" t="s">
        <v>45</v>
      </c>
    </row>
    <row r="824" spans="1:16" x14ac:dyDescent="0.25">
      <c r="A824">
        <v>834</v>
      </c>
      <c r="B824" s="2">
        <v>44067.416666666664</v>
      </c>
      <c r="C824" s="2">
        <v>44082.34375</v>
      </c>
      <c r="D824">
        <v>4</v>
      </c>
      <c r="E824" t="s">
        <v>6</v>
      </c>
      <c r="F824" t="s">
        <v>11</v>
      </c>
      <c r="G824" t="s">
        <v>35</v>
      </c>
      <c r="H824">
        <v>64</v>
      </c>
      <c r="I824">
        <v>2.1</v>
      </c>
      <c r="J824">
        <v>1</v>
      </c>
      <c r="K824" t="s">
        <v>15</v>
      </c>
      <c r="L824">
        <v>64</v>
      </c>
      <c r="M824">
        <v>172</v>
      </c>
      <c r="N824">
        <v>97</v>
      </c>
      <c r="O824">
        <v>46</v>
      </c>
      <c r="P824" t="s">
        <v>46</v>
      </c>
    </row>
    <row r="825" spans="1:16" x14ac:dyDescent="0.25">
      <c r="A825">
        <v>835</v>
      </c>
      <c r="B825" s="2">
        <v>44081.677777777775</v>
      </c>
      <c r="C825" s="2">
        <v>44082.527777777781</v>
      </c>
      <c r="D825">
        <v>5</v>
      </c>
      <c r="E825" t="s">
        <v>4</v>
      </c>
      <c r="F825" t="s">
        <v>10</v>
      </c>
      <c r="G825" t="s">
        <v>26</v>
      </c>
      <c r="H825">
        <v>66</v>
      </c>
      <c r="I825">
        <v>3.41</v>
      </c>
      <c r="J825">
        <v>1.83</v>
      </c>
      <c r="K825" t="s">
        <v>15</v>
      </c>
      <c r="L825">
        <v>90</v>
      </c>
      <c r="M825">
        <v>175</v>
      </c>
      <c r="N825">
        <v>125</v>
      </c>
      <c r="O825">
        <v>55</v>
      </c>
      <c r="P825" t="s">
        <v>44</v>
      </c>
    </row>
    <row r="826" spans="1:16" x14ac:dyDescent="0.25">
      <c r="A826">
        <v>836</v>
      </c>
      <c r="B826" s="2">
        <v>44081.629166666666</v>
      </c>
      <c r="C826" s="2">
        <v>44082.613194444442</v>
      </c>
      <c r="D826">
        <v>2</v>
      </c>
      <c r="E826" t="s">
        <v>4</v>
      </c>
      <c r="F826" t="s">
        <v>3</v>
      </c>
      <c r="G826" t="s">
        <v>28</v>
      </c>
      <c r="H826">
        <v>84</v>
      </c>
      <c r="I826">
        <v>10.95</v>
      </c>
      <c r="J826">
        <v>10.26</v>
      </c>
      <c r="K826" t="s">
        <v>15</v>
      </c>
      <c r="L826">
        <v>88</v>
      </c>
      <c r="M826">
        <v>179</v>
      </c>
      <c r="N826">
        <v>90</v>
      </c>
      <c r="O826">
        <v>45</v>
      </c>
      <c r="P826" t="s">
        <v>46</v>
      </c>
    </row>
    <row r="827" spans="1:16" x14ac:dyDescent="0.25">
      <c r="A827">
        <v>837</v>
      </c>
      <c r="B827" s="2">
        <v>44082.291666666664</v>
      </c>
      <c r="C827" s="2">
        <v>44082.614583333336</v>
      </c>
      <c r="D827">
        <v>4</v>
      </c>
      <c r="E827" t="s">
        <v>4</v>
      </c>
      <c r="F827" t="s">
        <v>3</v>
      </c>
      <c r="G827" t="s">
        <v>35</v>
      </c>
      <c r="H827">
        <v>35</v>
      </c>
      <c r="I827">
        <v>1.51</v>
      </c>
      <c r="J827">
        <v>0.56000000000000005</v>
      </c>
      <c r="K827" t="s">
        <v>15</v>
      </c>
      <c r="L827">
        <v>114</v>
      </c>
      <c r="M827">
        <v>171</v>
      </c>
      <c r="N827">
        <v>56</v>
      </c>
      <c r="O827">
        <v>40</v>
      </c>
      <c r="P827" t="s">
        <v>46</v>
      </c>
    </row>
    <row r="828" spans="1:16" x14ac:dyDescent="0.25">
      <c r="A828">
        <v>838</v>
      </c>
      <c r="B828" s="2">
        <v>44082.666666666664</v>
      </c>
      <c r="C828" s="2">
        <v>44083.333333333336</v>
      </c>
      <c r="D828">
        <v>2</v>
      </c>
      <c r="E828" t="s">
        <v>4</v>
      </c>
      <c r="F828" t="s">
        <v>1</v>
      </c>
      <c r="G828" t="s">
        <v>28</v>
      </c>
      <c r="H828">
        <v>81</v>
      </c>
      <c r="I828">
        <v>24.31</v>
      </c>
      <c r="J828">
        <v>10.36</v>
      </c>
      <c r="K828" t="s">
        <v>15</v>
      </c>
      <c r="L828">
        <v>66</v>
      </c>
      <c r="M828">
        <v>175</v>
      </c>
      <c r="N828">
        <v>100</v>
      </c>
      <c r="O828">
        <v>55</v>
      </c>
      <c r="P828" t="s">
        <v>44</v>
      </c>
    </row>
    <row r="829" spans="1:16" x14ac:dyDescent="0.25">
      <c r="A829">
        <v>839</v>
      </c>
      <c r="B829" s="2">
        <v>44082.67083333333</v>
      </c>
      <c r="C829" s="2">
        <v>44083.333333333336</v>
      </c>
      <c r="D829">
        <v>6</v>
      </c>
      <c r="E829" t="s">
        <v>4</v>
      </c>
      <c r="F829" t="s">
        <v>10</v>
      </c>
      <c r="G829" t="s">
        <v>24</v>
      </c>
      <c r="H829">
        <v>58</v>
      </c>
      <c r="I829">
        <v>1.68</v>
      </c>
      <c r="J829">
        <v>1.28</v>
      </c>
      <c r="K829" t="s">
        <v>15</v>
      </c>
      <c r="L829">
        <v>139</v>
      </c>
      <c r="M829">
        <v>164</v>
      </c>
      <c r="N829">
        <v>75</v>
      </c>
      <c r="O829">
        <v>28</v>
      </c>
      <c r="P829" t="s">
        <v>45</v>
      </c>
    </row>
    <row r="830" spans="1:16" x14ac:dyDescent="0.25">
      <c r="A830">
        <v>840</v>
      </c>
      <c r="B830" s="2">
        <v>44082.588194444441</v>
      </c>
      <c r="C830" s="2">
        <v>44083.334027777775</v>
      </c>
      <c r="D830">
        <v>3</v>
      </c>
      <c r="E830" t="s">
        <v>4</v>
      </c>
      <c r="F830" t="s">
        <v>3</v>
      </c>
      <c r="G830" t="s">
        <v>25</v>
      </c>
      <c r="H830">
        <v>39</v>
      </c>
      <c r="I830">
        <v>5.48</v>
      </c>
      <c r="J830">
        <v>2.09</v>
      </c>
      <c r="K830" t="s">
        <v>15</v>
      </c>
      <c r="L830">
        <v>85</v>
      </c>
      <c r="M830">
        <v>165</v>
      </c>
      <c r="N830">
        <v>76</v>
      </c>
      <c r="O830">
        <v>55</v>
      </c>
      <c r="P830" t="s">
        <v>44</v>
      </c>
    </row>
    <row r="831" spans="1:16" x14ac:dyDescent="0.25">
      <c r="A831">
        <v>841</v>
      </c>
      <c r="B831" s="2">
        <v>44081.458333333336</v>
      </c>
      <c r="C831" s="2">
        <v>44083.34097222222</v>
      </c>
      <c r="D831">
        <v>5</v>
      </c>
      <c r="E831" t="s">
        <v>6</v>
      </c>
      <c r="F831" t="s">
        <v>11</v>
      </c>
      <c r="G831" t="s">
        <v>27</v>
      </c>
      <c r="H831">
        <v>76</v>
      </c>
      <c r="I831">
        <v>4.53</v>
      </c>
      <c r="J831">
        <v>2.77</v>
      </c>
      <c r="K831" t="s">
        <v>15</v>
      </c>
      <c r="L831">
        <v>100</v>
      </c>
      <c r="M831">
        <v>178</v>
      </c>
      <c r="N831">
        <v>89</v>
      </c>
      <c r="O831">
        <v>55</v>
      </c>
      <c r="P831" t="s">
        <v>44</v>
      </c>
    </row>
    <row r="832" spans="1:16" x14ac:dyDescent="0.25">
      <c r="A832">
        <v>842</v>
      </c>
      <c r="B832" s="2">
        <v>44077.667361111111</v>
      </c>
      <c r="C832" s="2">
        <v>44083.347916666666</v>
      </c>
      <c r="D832">
        <v>4</v>
      </c>
      <c r="E832" t="s">
        <v>6</v>
      </c>
      <c r="F832" t="s">
        <v>1</v>
      </c>
      <c r="G832" t="s">
        <v>31</v>
      </c>
      <c r="H832">
        <v>81</v>
      </c>
      <c r="I832">
        <v>30.88</v>
      </c>
      <c r="J832">
        <v>11.5</v>
      </c>
      <c r="K832" t="s">
        <v>15</v>
      </c>
      <c r="L832">
        <v>85</v>
      </c>
      <c r="M832">
        <v>170</v>
      </c>
      <c r="N832">
        <v>80</v>
      </c>
      <c r="O832">
        <v>80</v>
      </c>
      <c r="P832" t="s">
        <v>44</v>
      </c>
    </row>
    <row r="833" spans="1:16" x14ac:dyDescent="0.25">
      <c r="A833">
        <v>843</v>
      </c>
      <c r="B833" s="2">
        <v>44083.291666666664</v>
      </c>
      <c r="C833" s="2">
        <v>44083.581944444442</v>
      </c>
      <c r="D833">
        <v>2</v>
      </c>
      <c r="E833" t="s">
        <v>4</v>
      </c>
      <c r="F833" t="s">
        <v>3</v>
      </c>
      <c r="G833" t="s">
        <v>28</v>
      </c>
      <c r="H833">
        <v>66</v>
      </c>
      <c r="I833">
        <v>2.38</v>
      </c>
      <c r="J833">
        <v>0.59</v>
      </c>
      <c r="K833" t="s">
        <v>15</v>
      </c>
      <c r="L833">
        <v>112</v>
      </c>
      <c r="M833">
        <v>170</v>
      </c>
      <c r="N833">
        <v>119</v>
      </c>
      <c r="O833">
        <v>70</v>
      </c>
      <c r="P833" t="s">
        <v>44</v>
      </c>
    </row>
    <row r="834" spans="1:16" x14ac:dyDescent="0.25">
      <c r="A834">
        <v>844</v>
      </c>
      <c r="B834" s="2">
        <v>44083.291666666664</v>
      </c>
      <c r="C834" s="2">
        <v>44083.63958333333</v>
      </c>
      <c r="D834">
        <v>4</v>
      </c>
      <c r="E834" t="s">
        <v>4</v>
      </c>
      <c r="F834" t="s">
        <v>10</v>
      </c>
      <c r="G834" t="s">
        <v>31</v>
      </c>
      <c r="H834">
        <v>59</v>
      </c>
      <c r="I834">
        <v>0.88</v>
      </c>
      <c r="J834">
        <v>0.67</v>
      </c>
      <c r="K834" t="s">
        <v>15</v>
      </c>
      <c r="L834">
        <v>110</v>
      </c>
      <c r="M834">
        <v>157</v>
      </c>
      <c r="N834">
        <v>90</v>
      </c>
      <c r="O834">
        <v>55</v>
      </c>
      <c r="P834" t="s">
        <v>44</v>
      </c>
    </row>
    <row r="835" spans="1:16" x14ac:dyDescent="0.25">
      <c r="A835">
        <v>845</v>
      </c>
      <c r="B835" s="2">
        <v>44083.291666666664</v>
      </c>
      <c r="C835" s="2">
        <v>44083.640972222223</v>
      </c>
      <c r="D835">
        <v>3</v>
      </c>
      <c r="E835" t="s">
        <v>4</v>
      </c>
      <c r="F835" t="s">
        <v>10</v>
      </c>
      <c r="G835" t="s">
        <v>25</v>
      </c>
      <c r="H835">
        <v>77</v>
      </c>
      <c r="I835">
        <v>3.94</v>
      </c>
      <c r="J835">
        <v>1.36</v>
      </c>
      <c r="K835" t="s">
        <v>15</v>
      </c>
      <c r="L835">
        <v>84</v>
      </c>
      <c r="M835">
        <v>168</v>
      </c>
      <c r="N835">
        <v>89</v>
      </c>
      <c r="O835">
        <v>45</v>
      </c>
      <c r="P835" t="s">
        <v>46</v>
      </c>
    </row>
    <row r="836" spans="1:16" x14ac:dyDescent="0.25">
      <c r="A836">
        <v>846</v>
      </c>
      <c r="B836" s="2">
        <v>44083.671527777777</v>
      </c>
      <c r="C836" s="2">
        <v>44084.337500000001</v>
      </c>
      <c r="D836">
        <v>2</v>
      </c>
      <c r="E836" t="s">
        <v>4</v>
      </c>
      <c r="F836" t="s">
        <v>3</v>
      </c>
      <c r="G836" t="s">
        <v>32</v>
      </c>
      <c r="H836">
        <v>82</v>
      </c>
      <c r="I836">
        <v>13.89</v>
      </c>
      <c r="J836">
        <v>1.87</v>
      </c>
      <c r="K836" t="s">
        <v>15</v>
      </c>
      <c r="L836">
        <v>64</v>
      </c>
      <c r="M836">
        <v>171</v>
      </c>
      <c r="N836">
        <v>81</v>
      </c>
      <c r="O836">
        <v>50</v>
      </c>
      <c r="P836" t="s">
        <v>46</v>
      </c>
    </row>
    <row r="837" spans="1:16" x14ac:dyDescent="0.25">
      <c r="A837">
        <v>847</v>
      </c>
      <c r="B837" s="2">
        <v>44083.666666666664</v>
      </c>
      <c r="C837" s="2">
        <v>44084.341666666667</v>
      </c>
      <c r="D837">
        <v>5</v>
      </c>
      <c r="E837" t="s">
        <v>4</v>
      </c>
      <c r="F837" t="s">
        <v>1</v>
      </c>
      <c r="G837" t="s">
        <v>34</v>
      </c>
      <c r="H837">
        <v>28</v>
      </c>
      <c r="I837">
        <v>4.6500000000000004</v>
      </c>
      <c r="J837">
        <v>1.64</v>
      </c>
      <c r="K837" t="s">
        <v>15</v>
      </c>
      <c r="L837">
        <v>69</v>
      </c>
      <c r="M837">
        <v>163</v>
      </c>
      <c r="N837">
        <v>79</v>
      </c>
      <c r="O837">
        <v>65</v>
      </c>
      <c r="P837" t="s">
        <v>44</v>
      </c>
    </row>
    <row r="838" spans="1:16" x14ac:dyDescent="0.25">
      <c r="A838">
        <v>848</v>
      </c>
      <c r="B838" s="2">
        <v>44081.580555555556</v>
      </c>
      <c r="C838" s="2">
        <v>44084.341666666667</v>
      </c>
      <c r="D838">
        <v>4</v>
      </c>
      <c r="E838" t="s">
        <v>6</v>
      </c>
      <c r="F838" t="s">
        <v>10</v>
      </c>
      <c r="G838" t="s">
        <v>21</v>
      </c>
      <c r="H838">
        <v>67</v>
      </c>
      <c r="I838">
        <v>7.09</v>
      </c>
      <c r="J838">
        <v>3.43</v>
      </c>
      <c r="K838" t="s">
        <v>15</v>
      </c>
      <c r="L838">
        <v>130</v>
      </c>
      <c r="M838">
        <v>169</v>
      </c>
      <c r="N838">
        <v>74</v>
      </c>
      <c r="O838">
        <v>43</v>
      </c>
      <c r="P838" t="s">
        <v>46</v>
      </c>
    </row>
    <row r="839" spans="1:16" x14ac:dyDescent="0.25">
      <c r="A839">
        <v>849</v>
      </c>
      <c r="B839" s="2">
        <v>44084.291666666664</v>
      </c>
      <c r="C839" s="2">
        <v>44084.45416666667</v>
      </c>
      <c r="D839">
        <v>2</v>
      </c>
      <c r="E839" t="s">
        <v>4</v>
      </c>
      <c r="F839" t="s">
        <v>11</v>
      </c>
      <c r="G839" t="s">
        <v>32</v>
      </c>
      <c r="H839">
        <v>82</v>
      </c>
      <c r="I839">
        <v>8.9700000000000006</v>
      </c>
      <c r="J839">
        <v>4.49</v>
      </c>
      <c r="K839" t="s">
        <v>15</v>
      </c>
      <c r="L839">
        <v>72</v>
      </c>
      <c r="M839">
        <v>187</v>
      </c>
      <c r="N839">
        <v>83</v>
      </c>
      <c r="O839">
        <v>49</v>
      </c>
      <c r="P839" t="s">
        <v>46</v>
      </c>
    </row>
    <row r="840" spans="1:16" x14ac:dyDescent="0.25">
      <c r="A840">
        <v>850</v>
      </c>
      <c r="B840" s="2">
        <v>44073.415277777778</v>
      </c>
      <c r="C840" s="2">
        <v>44084.600694444445</v>
      </c>
      <c r="D840">
        <v>5</v>
      </c>
      <c r="E840" t="s">
        <v>6</v>
      </c>
      <c r="F840" t="s">
        <v>10</v>
      </c>
      <c r="G840" t="s">
        <v>31</v>
      </c>
      <c r="H840">
        <v>68</v>
      </c>
      <c r="I840">
        <v>2.72</v>
      </c>
      <c r="J840">
        <v>1</v>
      </c>
      <c r="K840" t="s">
        <v>15</v>
      </c>
      <c r="L840">
        <v>86</v>
      </c>
      <c r="M840">
        <v>173</v>
      </c>
      <c r="N840">
        <v>92</v>
      </c>
      <c r="O840">
        <v>59</v>
      </c>
      <c r="P840" t="s">
        <v>44</v>
      </c>
    </row>
    <row r="841" spans="1:16" x14ac:dyDescent="0.25">
      <c r="A841">
        <v>851</v>
      </c>
      <c r="B841" s="2">
        <v>44083.493055555555</v>
      </c>
      <c r="C841" s="2">
        <v>44084.675000000003</v>
      </c>
      <c r="D841">
        <v>4</v>
      </c>
      <c r="E841" t="s">
        <v>4</v>
      </c>
      <c r="F841" t="s">
        <v>3</v>
      </c>
      <c r="G841" t="s">
        <v>21</v>
      </c>
      <c r="H841">
        <v>62</v>
      </c>
      <c r="I841">
        <v>2.97</v>
      </c>
      <c r="J841">
        <v>0.86</v>
      </c>
      <c r="K841" t="s">
        <v>15</v>
      </c>
      <c r="L841">
        <v>71</v>
      </c>
      <c r="M841">
        <v>173</v>
      </c>
      <c r="N841">
        <v>73</v>
      </c>
      <c r="O841">
        <v>64</v>
      </c>
      <c r="P841" t="s">
        <v>44</v>
      </c>
    </row>
    <row r="842" spans="1:16" x14ac:dyDescent="0.25">
      <c r="A842">
        <v>852</v>
      </c>
      <c r="B842" s="2">
        <v>44084.657638888886</v>
      </c>
      <c r="C842" s="2">
        <v>44085.331250000003</v>
      </c>
      <c r="D842">
        <v>4</v>
      </c>
      <c r="E842" t="s">
        <v>4</v>
      </c>
      <c r="F842" t="s">
        <v>3</v>
      </c>
      <c r="G842" t="s">
        <v>21</v>
      </c>
      <c r="H842">
        <v>72</v>
      </c>
      <c r="I842">
        <v>7.65</v>
      </c>
      <c r="J842">
        <v>1.17</v>
      </c>
      <c r="K842" t="s">
        <v>15</v>
      </c>
      <c r="L842">
        <v>62</v>
      </c>
      <c r="M842">
        <v>175</v>
      </c>
      <c r="N842">
        <v>95</v>
      </c>
      <c r="O842">
        <v>41</v>
      </c>
      <c r="P842" t="s">
        <v>46</v>
      </c>
    </row>
    <row r="843" spans="1:16" x14ac:dyDescent="0.25">
      <c r="A843">
        <v>853</v>
      </c>
      <c r="B843" s="2">
        <v>44081.458333333336</v>
      </c>
      <c r="C843" s="2">
        <v>44085.335416666669</v>
      </c>
      <c r="D843">
        <v>5</v>
      </c>
      <c r="E843" t="s">
        <v>4</v>
      </c>
      <c r="F843" t="s">
        <v>10</v>
      </c>
      <c r="G843" t="s">
        <v>24</v>
      </c>
      <c r="H843">
        <v>68</v>
      </c>
      <c r="I843">
        <v>1.59</v>
      </c>
      <c r="J843">
        <v>0.7</v>
      </c>
      <c r="K843" t="s">
        <v>15</v>
      </c>
      <c r="L843">
        <v>127</v>
      </c>
      <c r="M843">
        <v>165</v>
      </c>
      <c r="N843">
        <v>69</v>
      </c>
      <c r="O843">
        <v>66</v>
      </c>
      <c r="P843" t="s">
        <v>44</v>
      </c>
    </row>
    <row r="844" spans="1:16" x14ac:dyDescent="0.25">
      <c r="A844">
        <v>854</v>
      </c>
      <c r="B844" s="2">
        <v>44083.555555555555</v>
      </c>
      <c r="C844" s="2">
        <v>44085.340277777781</v>
      </c>
      <c r="D844">
        <v>2</v>
      </c>
      <c r="E844" t="s">
        <v>6</v>
      </c>
      <c r="F844" t="s">
        <v>10</v>
      </c>
      <c r="G844" t="s">
        <v>31</v>
      </c>
      <c r="H844">
        <v>69</v>
      </c>
      <c r="I844">
        <v>2.9</v>
      </c>
      <c r="J844">
        <v>1.03</v>
      </c>
      <c r="K844" t="s">
        <v>15</v>
      </c>
      <c r="L844">
        <v>120</v>
      </c>
      <c r="M844">
        <v>166</v>
      </c>
      <c r="N844">
        <v>65</v>
      </c>
      <c r="O844">
        <v>55</v>
      </c>
      <c r="P844" t="s">
        <v>44</v>
      </c>
    </row>
    <row r="845" spans="1:16" x14ac:dyDescent="0.25">
      <c r="A845">
        <v>855</v>
      </c>
      <c r="B845" s="2">
        <v>44083.447916666664</v>
      </c>
      <c r="C845" s="2">
        <v>44085.561111111114</v>
      </c>
      <c r="D845">
        <v>2</v>
      </c>
      <c r="E845" t="s">
        <v>6</v>
      </c>
      <c r="F845" t="s">
        <v>11</v>
      </c>
      <c r="G845" t="s">
        <v>31</v>
      </c>
      <c r="H845">
        <v>82</v>
      </c>
      <c r="I845">
        <v>6.61</v>
      </c>
      <c r="J845">
        <v>5.56</v>
      </c>
      <c r="K845" t="s">
        <v>15</v>
      </c>
      <c r="L845">
        <v>104</v>
      </c>
      <c r="M845">
        <v>163</v>
      </c>
      <c r="N845">
        <v>99</v>
      </c>
      <c r="O845">
        <v>55</v>
      </c>
      <c r="P845" t="s">
        <v>44</v>
      </c>
    </row>
    <row r="846" spans="1:16" x14ac:dyDescent="0.25">
      <c r="A846">
        <v>856</v>
      </c>
      <c r="B846" s="2">
        <v>44084.71875</v>
      </c>
      <c r="C846" s="2">
        <v>44085.569444444445</v>
      </c>
      <c r="D846">
        <v>5</v>
      </c>
      <c r="E846" t="s">
        <v>4</v>
      </c>
      <c r="F846" t="s">
        <v>10</v>
      </c>
      <c r="G846" t="s">
        <v>24</v>
      </c>
      <c r="H846">
        <v>74</v>
      </c>
      <c r="I846">
        <v>2.36</v>
      </c>
      <c r="J846">
        <v>1.18</v>
      </c>
      <c r="K846" t="s">
        <v>15</v>
      </c>
      <c r="L846">
        <v>67</v>
      </c>
      <c r="M846">
        <v>180</v>
      </c>
      <c r="N846">
        <v>98</v>
      </c>
      <c r="O846">
        <v>48</v>
      </c>
      <c r="P846" t="s">
        <v>46</v>
      </c>
    </row>
    <row r="847" spans="1:16" x14ac:dyDescent="0.25">
      <c r="A847">
        <v>857</v>
      </c>
      <c r="B847" s="2">
        <v>44085.291666666664</v>
      </c>
      <c r="C847" s="2">
        <v>44085.569444444445</v>
      </c>
      <c r="D847">
        <v>4</v>
      </c>
      <c r="E847" t="s">
        <v>4</v>
      </c>
      <c r="F847" t="s">
        <v>10</v>
      </c>
      <c r="G847" t="s">
        <v>21</v>
      </c>
      <c r="H847">
        <v>77</v>
      </c>
      <c r="I847">
        <v>2.87</v>
      </c>
      <c r="J847">
        <v>1.0900000000000001</v>
      </c>
      <c r="K847" t="s">
        <v>15</v>
      </c>
      <c r="L847">
        <v>70</v>
      </c>
      <c r="M847">
        <v>180</v>
      </c>
      <c r="N847">
        <v>100</v>
      </c>
      <c r="O847">
        <v>52</v>
      </c>
      <c r="P847" t="s">
        <v>44</v>
      </c>
    </row>
    <row r="848" spans="1:16" x14ac:dyDescent="0.25">
      <c r="A848">
        <v>858</v>
      </c>
      <c r="B848" s="2">
        <v>44085.30972222222</v>
      </c>
      <c r="C848" s="2">
        <v>44086.341666666667</v>
      </c>
      <c r="D848">
        <v>5</v>
      </c>
      <c r="E848" t="s">
        <v>4</v>
      </c>
      <c r="F848" t="s">
        <v>11</v>
      </c>
      <c r="G848" t="s">
        <v>32</v>
      </c>
      <c r="H848">
        <v>82</v>
      </c>
      <c r="I848">
        <v>18.25</v>
      </c>
      <c r="J848">
        <v>9.65</v>
      </c>
      <c r="K848" t="s">
        <v>13</v>
      </c>
      <c r="L848">
        <v>86</v>
      </c>
      <c r="M848">
        <v>176</v>
      </c>
      <c r="N848">
        <v>9.5</v>
      </c>
      <c r="O848">
        <v>57</v>
      </c>
      <c r="P848" t="s">
        <v>44</v>
      </c>
    </row>
    <row r="849" spans="1:16" x14ac:dyDescent="0.25">
      <c r="A849">
        <v>859</v>
      </c>
      <c r="B849" s="2">
        <v>44085.676388888889</v>
      </c>
      <c r="C849" s="2">
        <v>44086.463194444441</v>
      </c>
      <c r="D849">
        <v>5</v>
      </c>
      <c r="E849" t="s">
        <v>4</v>
      </c>
      <c r="F849" t="s">
        <v>11</v>
      </c>
      <c r="G849" t="s">
        <v>32</v>
      </c>
      <c r="H849">
        <v>73</v>
      </c>
      <c r="I849">
        <v>8.82</v>
      </c>
      <c r="J849">
        <v>3.86</v>
      </c>
      <c r="K849" t="s">
        <v>15</v>
      </c>
      <c r="L849">
        <v>134</v>
      </c>
      <c r="M849">
        <v>176</v>
      </c>
      <c r="N849">
        <v>100</v>
      </c>
      <c r="O849">
        <v>41</v>
      </c>
      <c r="P849" t="s">
        <v>46</v>
      </c>
    </row>
    <row r="850" spans="1:16" x14ac:dyDescent="0.25">
      <c r="A850">
        <v>860</v>
      </c>
      <c r="B850" s="2">
        <v>44087.666666666664</v>
      </c>
      <c r="C850" s="2">
        <v>44088.338194444441</v>
      </c>
      <c r="D850">
        <v>4</v>
      </c>
      <c r="E850" t="s">
        <v>4</v>
      </c>
      <c r="F850" t="s">
        <v>3</v>
      </c>
      <c r="G850" t="s">
        <v>33</v>
      </c>
      <c r="H850">
        <v>69</v>
      </c>
      <c r="I850">
        <v>5.92</v>
      </c>
      <c r="J850">
        <v>7.08</v>
      </c>
      <c r="K850" t="s">
        <v>15</v>
      </c>
      <c r="L850">
        <v>89</v>
      </c>
      <c r="M850">
        <v>161</v>
      </c>
      <c r="N850">
        <v>86</v>
      </c>
      <c r="O850">
        <v>28</v>
      </c>
      <c r="P850" t="s">
        <v>45</v>
      </c>
    </row>
    <row r="851" spans="1:16" x14ac:dyDescent="0.25">
      <c r="A851">
        <v>861</v>
      </c>
      <c r="B851" s="2">
        <v>44087.666666666664</v>
      </c>
      <c r="C851" s="2">
        <v>44088.338888888888</v>
      </c>
      <c r="D851">
        <v>6</v>
      </c>
      <c r="E851" t="s">
        <v>4</v>
      </c>
      <c r="F851" t="s">
        <v>1</v>
      </c>
      <c r="G851" t="s">
        <v>23</v>
      </c>
      <c r="H851">
        <v>77</v>
      </c>
      <c r="I851">
        <v>18.37</v>
      </c>
      <c r="J851">
        <v>1.92</v>
      </c>
      <c r="K851" t="s">
        <v>15</v>
      </c>
      <c r="L851">
        <v>92</v>
      </c>
      <c r="M851">
        <v>172</v>
      </c>
      <c r="N851">
        <v>77</v>
      </c>
      <c r="O851">
        <v>57</v>
      </c>
      <c r="P851" t="s">
        <v>44</v>
      </c>
    </row>
    <row r="852" spans="1:16" x14ac:dyDescent="0.25">
      <c r="A852">
        <v>862</v>
      </c>
      <c r="B852" s="2">
        <v>44087.665277777778</v>
      </c>
      <c r="C852" s="2">
        <v>44088.34097222222</v>
      </c>
      <c r="D852">
        <v>5</v>
      </c>
      <c r="E852" t="s">
        <v>4</v>
      </c>
      <c r="F852" t="s">
        <v>10</v>
      </c>
      <c r="G852" t="s">
        <v>29</v>
      </c>
      <c r="H852">
        <v>56</v>
      </c>
      <c r="I852">
        <v>0.88</v>
      </c>
      <c r="J852">
        <v>0.5</v>
      </c>
      <c r="K852" t="s">
        <v>15</v>
      </c>
      <c r="L852">
        <v>76</v>
      </c>
      <c r="M852">
        <v>174</v>
      </c>
      <c r="N852">
        <v>83</v>
      </c>
      <c r="O852">
        <v>40</v>
      </c>
      <c r="P852" t="s">
        <v>46</v>
      </c>
    </row>
    <row r="853" spans="1:16" x14ac:dyDescent="0.25">
      <c r="A853">
        <v>863</v>
      </c>
      <c r="B853" s="2">
        <v>44087.652777777781</v>
      </c>
      <c r="C853" s="2">
        <v>44088.342361111114</v>
      </c>
      <c r="D853">
        <v>3</v>
      </c>
      <c r="E853" t="s">
        <v>4</v>
      </c>
      <c r="F853" t="s">
        <v>3</v>
      </c>
      <c r="G853" t="s">
        <v>30</v>
      </c>
      <c r="H853">
        <v>58</v>
      </c>
      <c r="I853">
        <v>2.08</v>
      </c>
      <c r="J853">
        <v>0.84</v>
      </c>
      <c r="K853" t="s">
        <v>15</v>
      </c>
      <c r="L853">
        <v>93</v>
      </c>
      <c r="M853">
        <v>170</v>
      </c>
      <c r="N853">
        <v>72</v>
      </c>
      <c r="O853">
        <v>60</v>
      </c>
      <c r="P853" t="s">
        <v>44</v>
      </c>
    </row>
    <row r="854" spans="1:16" x14ac:dyDescent="0.25">
      <c r="A854">
        <v>864</v>
      </c>
      <c r="B854" s="2">
        <v>44087.649305555555</v>
      </c>
      <c r="C854" s="2">
        <v>44088.345833333333</v>
      </c>
      <c r="D854">
        <v>2</v>
      </c>
      <c r="E854" t="s">
        <v>4</v>
      </c>
      <c r="F854" t="s">
        <v>3</v>
      </c>
      <c r="G854" t="s">
        <v>32</v>
      </c>
      <c r="H854">
        <v>78</v>
      </c>
      <c r="I854">
        <v>9.43</v>
      </c>
      <c r="J854">
        <v>2.17</v>
      </c>
      <c r="K854" t="s">
        <v>15</v>
      </c>
      <c r="L854">
        <v>196</v>
      </c>
      <c r="M854">
        <v>168</v>
      </c>
      <c r="N854">
        <v>111</v>
      </c>
      <c r="O854">
        <v>40</v>
      </c>
      <c r="P854" t="s">
        <v>46</v>
      </c>
    </row>
    <row r="855" spans="1:16" x14ac:dyDescent="0.25">
      <c r="A855">
        <v>865</v>
      </c>
      <c r="B855" s="2">
        <v>44081.666666666664</v>
      </c>
      <c r="C855" s="2">
        <v>44088.49722222222</v>
      </c>
      <c r="D855">
        <v>2</v>
      </c>
      <c r="E855" t="s">
        <v>4</v>
      </c>
      <c r="F855" t="s">
        <v>3</v>
      </c>
      <c r="G855" t="s">
        <v>32</v>
      </c>
      <c r="H855">
        <v>70</v>
      </c>
      <c r="I855">
        <v>13.24</v>
      </c>
      <c r="J855">
        <v>3.14</v>
      </c>
      <c r="K855" t="s">
        <v>15</v>
      </c>
      <c r="L855">
        <v>112</v>
      </c>
      <c r="M855">
        <v>178</v>
      </c>
      <c r="N855">
        <v>85</v>
      </c>
      <c r="O855">
        <v>60</v>
      </c>
      <c r="P855" t="s">
        <v>44</v>
      </c>
    </row>
    <row r="856" spans="1:16" x14ac:dyDescent="0.25">
      <c r="A856">
        <v>866</v>
      </c>
      <c r="B856" s="2">
        <v>44086.416666666664</v>
      </c>
      <c r="C856" s="2">
        <v>44088.545138888891</v>
      </c>
      <c r="D856">
        <v>6</v>
      </c>
      <c r="E856" t="s">
        <v>6</v>
      </c>
      <c r="F856" t="s">
        <v>11</v>
      </c>
      <c r="G856" t="s">
        <v>23</v>
      </c>
      <c r="H856">
        <v>72</v>
      </c>
      <c r="I856">
        <v>3.51</v>
      </c>
      <c r="J856">
        <v>1.66</v>
      </c>
      <c r="K856" t="s">
        <v>15</v>
      </c>
      <c r="L856">
        <v>83</v>
      </c>
      <c r="M856">
        <v>163</v>
      </c>
      <c r="N856">
        <v>75</v>
      </c>
      <c r="O856">
        <v>29</v>
      </c>
      <c r="P856" t="s">
        <v>45</v>
      </c>
    </row>
    <row r="857" spans="1:16" x14ac:dyDescent="0.25">
      <c r="A857">
        <v>867</v>
      </c>
      <c r="B857" s="2">
        <v>44086.569444444445</v>
      </c>
      <c r="C857" s="2">
        <v>44088.546527777777</v>
      </c>
      <c r="D857">
        <v>4</v>
      </c>
      <c r="E857" t="s">
        <v>6</v>
      </c>
      <c r="F857" t="s">
        <v>10</v>
      </c>
      <c r="G857" t="s">
        <v>33</v>
      </c>
      <c r="H857">
        <v>72</v>
      </c>
      <c r="I857">
        <v>3.91</v>
      </c>
      <c r="J857">
        <v>2.27</v>
      </c>
      <c r="K857" t="s">
        <v>15</v>
      </c>
      <c r="L857">
        <v>110</v>
      </c>
      <c r="M857">
        <v>154</v>
      </c>
      <c r="N857">
        <v>88</v>
      </c>
      <c r="O857">
        <v>29</v>
      </c>
      <c r="P857" t="s">
        <v>45</v>
      </c>
    </row>
    <row r="858" spans="1:16" x14ac:dyDescent="0.25">
      <c r="A858">
        <v>868</v>
      </c>
      <c r="B858" s="2">
        <v>44077.5</v>
      </c>
      <c r="C858" s="2">
        <v>44088.55972222222</v>
      </c>
      <c r="D858">
        <v>3</v>
      </c>
      <c r="E858" t="s">
        <v>6</v>
      </c>
      <c r="F858" t="s">
        <v>10</v>
      </c>
      <c r="G858" t="s">
        <v>30</v>
      </c>
      <c r="H858">
        <v>61</v>
      </c>
      <c r="I858">
        <v>1.01</v>
      </c>
      <c r="J858">
        <v>0.71</v>
      </c>
      <c r="K858" t="s">
        <v>15</v>
      </c>
      <c r="L858">
        <v>85</v>
      </c>
      <c r="M858">
        <v>173</v>
      </c>
      <c r="N858">
        <v>82</v>
      </c>
      <c r="O858">
        <v>25</v>
      </c>
      <c r="P858" t="s">
        <v>45</v>
      </c>
    </row>
    <row r="859" spans="1:16" x14ac:dyDescent="0.25">
      <c r="A859">
        <v>869</v>
      </c>
      <c r="B859" s="2">
        <v>44086.454861111109</v>
      </c>
      <c r="C859" s="2">
        <v>44088.614583333336</v>
      </c>
      <c r="D859">
        <v>5</v>
      </c>
      <c r="E859" t="s">
        <v>6</v>
      </c>
      <c r="F859" t="s">
        <v>10</v>
      </c>
      <c r="G859" t="s">
        <v>29</v>
      </c>
      <c r="H859">
        <v>65</v>
      </c>
      <c r="I859">
        <v>13.48</v>
      </c>
      <c r="J859">
        <v>25.78</v>
      </c>
      <c r="K859" t="s">
        <v>15</v>
      </c>
      <c r="L859">
        <v>78</v>
      </c>
      <c r="M859">
        <v>167</v>
      </c>
      <c r="N859">
        <v>72</v>
      </c>
      <c r="O859">
        <v>52</v>
      </c>
      <c r="P859" t="s">
        <v>44</v>
      </c>
    </row>
    <row r="860" spans="1:16" x14ac:dyDescent="0.25">
      <c r="A860">
        <v>870</v>
      </c>
      <c r="B860" s="2">
        <v>44076.583333333336</v>
      </c>
      <c r="C860" s="2">
        <v>44089.338888888888</v>
      </c>
      <c r="D860">
        <v>2</v>
      </c>
      <c r="E860" t="s">
        <v>6</v>
      </c>
      <c r="F860" t="s">
        <v>11</v>
      </c>
      <c r="G860" t="s">
        <v>35</v>
      </c>
      <c r="H860">
        <v>77</v>
      </c>
      <c r="I860">
        <v>9.99</v>
      </c>
      <c r="J860">
        <v>12.6</v>
      </c>
      <c r="K860" t="s">
        <v>15</v>
      </c>
      <c r="L860">
        <v>132</v>
      </c>
      <c r="M860">
        <v>182</v>
      </c>
      <c r="N860">
        <v>82</v>
      </c>
      <c r="O860">
        <v>51</v>
      </c>
      <c r="P860" t="s">
        <v>44</v>
      </c>
    </row>
    <row r="861" spans="1:16" x14ac:dyDescent="0.25">
      <c r="A861">
        <v>871</v>
      </c>
      <c r="B861" s="2">
        <v>44087.458333333336</v>
      </c>
      <c r="C861" s="2">
        <v>44089.340277777781</v>
      </c>
      <c r="D861">
        <v>5</v>
      </c>
      <c r="E861" t="s">
        <v>6</v>
      </c>
      <c r="F861" t="s">
        <v>11</v>
      </c>
      <c r="G861" t="s">
        <v>26</v>
      </c>
      <c r="H861">
        <v>79</v>
      </c>
      <c r="I861">
        <v>5.48</v>
      </c>
      <c r="J861">
        <v>3.61</v>
      </c>
      <c r="K861" t="s">
        <v>15</v>
      </c>
      <c r="L861">
        <v>74</v>
      </c>
      <c r="M861">
        <v>170</v>
      </c>
      <c r="N861">
        <v>70</v>
      </c>
      <c r="O861">
        <v>47</v>
      </c>
      <c r="P861" t="s">
        <v>46</v>
      </c>
    </row>
    <row r="862" spans="1:16" x14ac:dyDescent="0.25">
      <c r="A862">
        <v>872</v>
      </c>
      <c r="B862" s="2">
        <v>44088.666666666664</v>
      </c>
      <c r="C862" s="2">
        <v>44089.340277777781</v>
      </c>
      <c r="D862">
        <v>4</v>
      </c>
      <c r="E862" t="s">
        <v>4</v>
      </c>
      <c r="F862" t="s">
        <v>3</v>
      </c>
      <c r="G862" t="s">
        <v>32</v>
      </c>
      <c r="H862">
        <v>53</v>
      </c>
      <c r="I862">
        <v>1.51</v>
      </c>
      <c r="J862">
        <v>0.67</v>
      </c>
      <c r="K862" t="s">
        <v>15</v>
      </c>
      <c r="L862">
        <v>99</v>
      </c>
      <c r="M862">
        <v>179</v>
      </c>
      <c r="N862">
        <v>110</v>
      </c>
      <c r="O862">
        <v>37</v>
      </c>
      <c r="P862" t="s">
        <v>46</v>
      </c>
    </row>
    <row r="863" spans="1:16" x14ac:dyDescent="0.25">
      <c r="A863">
        <v>873</v>
      </c>
      <c r="B863" s="2">
        <v>44080.532638888886</v>
      </c>
      <c r="C863" s="2">
        <v>44089.347916666666</v>
      </c>
      <c r="D863">
        <v>6</v>
      </c>
      <c r="E863" t="s">
        <v>6</v>
      </c>
      <c r="F863" t="s">
        <v>10</v>
      </c>
      <c r="G863" t="s">
        <v>24</v>
      </c>
      <c r="H863">
        <v>74</v>
      </c>
      <c r="I863">
        <v>15.4</v>
      </c>
      <c r="J863">
        <v>4.2699999999999996</v>
      </c>
      <c r="K863" t="s">
        <v>15</v>
      </c>
      <c r="L863">
        <v>65</v>
      </c>
      <c r="M863">
        <v>171</v>
      </c>
      <c r="N863">
        <v>80</v>
      </c>
      <c r="O863">
        <v>55</v>
      </c>
      <c r="P863" t="s">
        <v>44</v>
      </c>
    </row>
    <row r="864" spans="1:16" x14ac:dyDescent="0.25">
      <c r="A864">
        <v>874</v>
      </c>
      <c r="B864" s="2">
        <v>44088.666666666664</v>
      </c>
      <c r="C864" s="2">
        <v>44089.484722222223</v>
      </c>
      <c r="D864">
        <v>4</v>
      </c>
      <c r="E864" t="s">
        <v>4</v>
      </c>
      <c r="F864" t="s">
        <v>11</v>
      </c>
      <c r="G864" t="s">
        <v>32</v>
      </c>
      <c r="H864">
        <v>80</v>
      </c>
      <c r="I864">
        <v>5.83</v>
      </c>
      <c r="J864">
        <v>2.73</v>
      </c>
      <c r="K864" t="s">
        <v>15</v>
      </c>
      <c r="L864">
        <v>76</v>
      </c>
      <c r="M864">
        <v>147</v>
      </c>
      <c r="N864">
        <v>50</v>
      </c>
      <c r="O864">
        <v>35</v>
      </c>
      <c r="P864" t="s">
        <v>46</v>
      </c>
    </row>
    <row r="865" spans="1:16" x14ac:dyDescent="0.25">
      <c r="A865">
        <v>875</v>
      </c>
      <c r="B865" s="2">
        <v>44088.666666666664</v>
      </c>
      <c r="C865" s="2">
        <v>44089.588888888888</v>
      </c>
      <c r="D865">
        <v>6</v>
      </c>
      <c r="E865" t="s">
        <v>4</v>
      </c>
      <c r="F865" t="s">
        <v>3</v>
      </c>
      <c r="G865" t="s">
        <v>24</v>
      </c>
      <c r="H865">
        <v>79</v>
      </c>
      <c r="I865">
        <v>8.1</v>
      </c>
      <c r="J865">
        <v>2.12</v>
      </c>
      <c r="K865" t="s">
        <v>15</v>
      </c>
      <c r="L865">
        <v>104</v>
      </c>
      <c r="M865">
        <v>174</v>
      </c>
      <c r="N865">
        <v>95</v>
      </c>
      <c r="O865">
        <v>65</v>
      </c>
      <c r="P865" t="s">
        <v>44</v>
      </c>
    </row>
    <row r="866" spans="1:16" x14ac:dyDescent="0.25">
      <c r="A866">
        <v>876</v>
      </c>
      <c r="B866" s="2">
        <v>44088.580555555556</v>
      </c>
      <c r="C866" s="2">
        <v>44089.602083333331</v>
      </c>
      <c r="D866">
        <v>5</v>
      </c>
      <c r="E866" t="s">
        <v>4</v>
      </c>
      <c r="F866" t="s">
        <v>11</v>
      </c>
      <c r="G866" t="s">
        <v>26</v>
      </c>
      <c r="H866">
        <v>55</v>
      </c>
      <c r="I866">
        <v>1.51</v>
      </c>
      <c r="J866">
        <v>0.96</v>
      </c>
      <c r="K866" t="s">
        <v>15</v>
      </c>
      <c r="L866">
        <v>107</v>
      </c>
      <c r="M866">
        <v>160</v>
      </c>
      <c r="N866">
        <v>63</v>
      </c>
      <c r="O866">
        <v>55</v>
      </c>
      <c r="P866" t="s">
        <v>44</v>
      </c>
    </row>
    <row r="867" spans="1:16" x14ac:dyDescent="0.25">
      <c r="A867">
        <v>877</v>
      </c>
      <c r="B867" s="2">
        <v>44087.416666666664</v>
      </c>
      <c r="C867" s="2">
        <v>44089.619444444441</v>
      </c>
      <c r="D867">
        <v>2</v>
      </c>
      <c r="E867" t="s">
        <v>4</v>
      </c>
      <c r="F867" t="s">
        <v>3</v>
      </c>
      <c r="G867" t="s">
        <v>35</v>
      </c>
      <c r="H867">
        <v>56</v>
      </c>
      <c r="I867">
        <v>5.96</v>
      </c>
      <c r="J867">
        <v>5.22</v>
      </c>
      <c r="K867" t="s">
        <v>15</v>
      </c>
      <c r="L867">
        <v>98</v>
      </c>
      <c r="M867">
        <v>181</v>
      </c>
      <c r="N867">
        <v>91</v>
      </c>
      <c r="O867">
        <v>55</v>
      </c>
      <c r="P867" t="s">
        <v>44</v>
      </c>
    </row>
    <row r="868" spans="1:16" x14ac:dyDescent="0.25">
      <c r="A868">
        <v>878</v>
      </c>
      <c r="B868" s="2">
        <v>44089.294444444444</v>
      </c>
      <c r="C868" s="2">
        <v>44089.650694444441</v>
      </c>
      <c r="D868">
        <v>4</v>
      </c>
      <c r="E868" t="s">
        <v>4</v>
      </c>
      <c r="F868" t="s">
        <v>3</v>
      </c>
      <c r="G868" t="s">
        <v>25</v>
      </c>
      <c r="H868">
        <v>67</v>
      </c>
      <c r="I868">
        <v>4.09</v>
      </c>
      <c r="J868">
        <v>0.82</v>
      </c>
      <c r="K868" t="s">
        <v>15</v>
      </c>
      <c r="L868">
        <v>100</v>
      </c>
      <c r="M868">
        <v>167</v>
      </c>
      <c r="N868">
        <v>57</v>
      </c>
      <c r="O868">
        <v>15</v>
      </c>
      <c r="P868" t="s">
        <v>47</v>
      </c>
    </row>
    <row r="869" spans="1:16" x14ac:dyDescent="0.25">
      <c r="A869">
        <v>879</v>
      </c>
      <c r="B869" s="2">
        <v>44089.647916666669</v>
      </c>
      <c r="C869" s="2">
        <v>44090.329861111109</v>
      </c>
      <c r="D869">
        <v>2</v>
      </c>
      <c r="E869" t="s">
        <v>4</v>
      </c>
      <c r="F869" t="s">
        <v>3</v>
      </c>
      <c r="G869" t="s">
        <v>28</v>
      </c>
      <c r="H869">
        <v>64</v>
      </c>
      <c r="I869">
        <v>6.88</v>
      </c>
      <c r="J869">
        <v>3.95</v>
      </c>
      <c r="K869" t="s">
        <v>15</v>
      </c>
      <c r="L869">
        <v>81</v>
      </c>
      <c r="M869">
        <v>182</v>
      </c>
      <c r="N869">
        <v>113</v>
      </c>
      <c r="O869">
        <v>51</v>
      </c>
      <c r="P869" t="s">
        <v>44</v>
      </c>
    </row>
    <row r="870" spans="1:16" x14ac:dyDescent="0.25">
      <c r="A870">
        <v>880</v>
      </c>
      <c r="B870" s="2">
        <v>44089.665972222225</v>
      </c>
      <c r="C870" s="2">
        <v>44090.336111111108</v>
      </c>
      <c r="D870">
        <v>4</v>
      </c>
      <c r="E870" t="s">
        <v>4</v>
      </c>
      <c r="F870" t="s">
        <v>11</v>
      </c>
      <c r="G870" t="s">
        <v>24</v>
      </c>
      <c r="H870">
        <v>69</v>
      </c>
      <c r="I870">
        <v>5.42</v>
      </c>
      <c r="J870">
        <v>1.89</v>
      </c>
      <c r="K870" t="s">
        <v>15</v>
      </c>
      <c r="L870">
        <v>62</v>
      </c>
      <c r="M870">
        <v>176</v>
      </c>
      <c r="N870">
        <v>89</v>
      </c>
      <c r="O870">
        <v>62</v>
      </c>
      <c r="P870" t="s">
        <v>44</v>
      </c>
    </row>
    <row r="871" spans="1:16" x14ac:dyDescent="0.25">
      <c r="A871">
        <v>881</v>
      </c>
      <c r="B871" s="2">
        <v>44086.431250000001</v>
      </c>
      <c r="C871" s="2">
        <v>44090.338888888888</v>
      </c>
      <c r="D871">
        <v>5</v>
      </c>
      <c r="E871" t="s">
        <v>6</v>
      </c>
      <c r="F871" t="s">
        <v>10</v>
      </c>
      <c r="G871" t="s">
        <v>31</v>
      </c>
      <c r="H871">
        <v>52</v>
      </c>
      <c r="I871">
        <v>1.51</v>
      </c>
      <c r="J871">
        <v>1.34</v>
      </c>
      <c r="K871" t="s">
        <v>15</v>
      </c>
      <c r="L871">
        <v>89</v>
      </c>
      <c r="M871">
        <v>159</v>
      </c>
      <c r="N871">
        <v>68</v>
      </c>
      <c r="O871">
        <v>55</v>
      </c>
      <c r="P871" t="s">
        <v>44</v>
      </c>
    </row>
    <row r="872" spans="1:16" x14ac:dyDescent="0.25">
      <c r="A872">
        <v>882</v>
      </c>
      <c r="B872" s="2">
        <v>44075.654166666667</v>
      </c>
      <c r="C872" s="2">
        <v>44090.347222222219</v>
      </c>
      <c r="D872">
        <v>6</v>
      </c>
      <c r="E872" t="s">
        <v>6</v>
      </c>
      <c r="F872" t="s">
        <v>10</v>
      </c>
      <c r="G872" t="s">
        <v>30</v>
      </c>
      <c r="H872">
        <v>82</v>
      </c>
      <c r="I872">
        <v>6.63</v>
      </c>
      <c r="J872">
        <v>1.49</v>
      </c>
      <c r="K872" t="s">
        <v>15</v>
      </c>
      <c r="L872">
        <v>99</v>
      </c>
      <c r="M872">
        <v>166</v>
      </c>
      <c r="N872">
        <v>91</v>
      </c>
      <c r="O872">
        <v>52</v>
      </c>
      <c r="P872" t="s">
        <v>44</v>
      </c>
    </row>
    <row r="873" spans="1:16" x14ac:dyDescent="0.25">
      <c r="A873">
        <v>883</v>
      </c>
      <c r="B873" s="2">
        <v>44090.304166666669</v>
      </c>
      <c r="C873" s="2">
        <v>44090.533333333333</v>
      </c>
      <c r="D873">
        <v>6</v>
      </c>
      <c r="E873" t="s">
        <v>4</v>
      </c>
      <c r="F873" t="s">
        <v>10</v>
      </c>
      <c r="G873" t="s">
        <v>30</v>
      </c>
      <c r="H873">
        <v>63</v>
      </c>
      <c r="I873">
        <v>1.59</v>
      </c>
      <c r="J873">
        <v>1.07</v>
      </c>
      <c r="K873" t="s">
        <v>15</v>
      </c>
      <c r="L873">
        <v>79</v>
      </c>
      <c r="M873">
        <v>183</v>
      </c>
      <c r="N873">
        <v>73</v>
      </c>
      <c r="O873">
        <v>50</v>
      </c>
      <c r="P873" t="s">
        <v>46</v>
      </c>
    </row>
    <row r="874" spans="1:16" x14ac:dyDescent="0.25">
      <c r="A874">
        <v>884</v>
      </c>
      <c r="B874" s="2">
        <v>44089.667361111111</v>
      </c>
      <c r="C874" s="2">
        <v>44090.576388888891</v>
      </c>
      <c r="D874">
        <v>5</v>
      </c>
      <c r="E874" t="s">
        <v>4</v>
      </c>
      <c r="F874" t="s">
        <v>10</v>
      </c>
      <c r="G874" t="s">
        <v>31</v>
      </c>
      <c r="H874">
        <v>66</v>
      </c>
      <c r="I874">
        <v>7.54</v>
      </c>
      <c r="J874">
        <v>12.87</v>
      </c>
      <c r="K874" t="s">
        <v>15</v>
      </c>
      <c r="L874">
        <v>75</v>
      </c>
      <c r="M874">
        <v>173</v>
      </c>
      <c r="N874">
        <v>100</v>
      </c>
      <c r="O874">
        <v>51</v>
      </c>
      <c r="P874" t="s">
        <v>44</v>
      </c>
    </row>
    <row r="875" spans="1:16" x14ac:dyDescent="0.25">
      <c r="A875">
        <v>885</v>
      </c>
      <c r="B875" s="2">
        <v>44084.503472222219</v>
      </c>
      <c r="C875" s="2">
        <v>44090.607638888891</v>
      </c>
      <c r="D875">
        <v>4</v>
      </c>
      <c r="E875" t="s">
        <v>6</v>
      </c>
      <c r="F875" t="s">
        <v>10</v>
      </c>
      <c r="G875" t="s">
        <v>24</v>
      </c>
      <c r="H875">
        <v>78</v>
      </c>
      <c r="I875">
        <v>8.18</v>
      </c>
      <c r="J875">
        <v>1.78</v>
      </c>
      <c r="K875" t="s">
        <v>15</v>
      </c>
      <c r="L875">
        <v>87</v>
      </c>
      <c r="M875">
        <v>170</v>
      </c>
      <c r="N875">
        <v>70</v>
      </c>
      <c r="O875">
        <v>54</v>
      </c>
      <c r="P875" t="s">
        <v>44</v>
      </c>
    </row>
    <row r="876" spans="1:16" x14ac:dyDescent="0.25">
      <c r="A876">
        <v>886</v>
      </c>
      <c r="B876" s="2">
        <v>44090.293055555558</v>
      </c>
      <c r="C876" s="2">
        <v>44090.616666666669</v>
      </c>
      <c r="D876">
        <v>2</v>
      </c>
      <c r="E876" t="s">
        <v>4</v>
      </c>
      <c r="F876" t="s">
        <v>3</v>
      </c>
      <c r="G876" t="s">
        <v>28</v>
      </c>
      <c r="H876">
        <v>72</v>
      </c>
      <c r="I876">
        <v>4.8099999999999996</v>
      </c>
      <c r="J876">
        <v>2.27</v>
      </c>
      <c r="K876" t="s">
        <v>15</v>
      </c>
      <c r="L876">
        <v>120</v>
      </c>
      <c r="M876">
        <v>179</v>
      </c>
      <c r="N876">
        <v>100</v>
      </c>
      <c r="O876">
        <v>53</v>
      </c>
      <c r="P876" t="s">
        <v>44</v>
      </c>
    </row>
    <row r="877" spans="1:16" x14ac:dyDescent="0.25">
      <c r="A877">
        <v>887</v>
      </c>
      <c r="B877" s="2">
        <v>44090.666666666664</v>
      </c>
      <c r="C877" s="2">
        <v>44091.333333333336</v>
      </c>
      <c r="D877">
        <v>2</v>
      </c>
      <c r="E877" t="s">
        <v>4</v>
      </c>
      <c r="F877" t="s">
        <v>1</v>
      </c>
      <c r="G877" t="s">
        <v>32</v>
      </c>
      <c r="H877">
        <v>69</v>
      </c>
      <c r="I877">
        <v>37.47</v>
      </c>
      <c r="J877">
        <v>12.1</v>
      </c>
      <c r="K877" t="s">
        <v>15</v>
      </c>
      <c r="L877">
        <v>144</v>
      </c>
      <c r="M877">
        <v>162</v>
      </c>
      <c r="N877">
        <v>65</v>
      </c>
      <c r="O877">
        <v>55</v>
      </c>
      <c r="P877" t="s">
        <v>44</v>
      </c>
    </row>
    <row r="878" spans="1:16" x14ac:dyDescent="0.25">
      <c r="A878">
        <v>888</v>
      </c>
      <c r="B878" s="2">
        <v>44090.65347222222</v>
      </c>
      <c r="C878" s="2">
        <v>44091.340277777781</v>
      </c>
      <c r="D878">
        <v>4</v>
      </c>
      <c r="E878" t="s">
        <v>4</v>
      </c>
      <c r="F878" t="s">
        <v>3</v>
      </c>
      <c r="G878" t="s">
        <v>31</v>
      </c>
      <c r="H878">
        <v>85</v>
      </c>
      <c r="I878">
        <v>7.96</v>
      </c>
      <c r="J878">
        <v>1.36</v>
      </c>
      <c r="K878" t="s">
        <v>15</v>
      </c>
      <c r="L878">
        <v>107</v>
      </c>
      <c r="M878">
        <v>160</v>
      </c>
      <c r="N878">
        <v>71</v>
      </c>
      <c r="O878">
        <v>55</v>
      </c>
      <c r="P878" t="s">
        <v>44</v>
      </c>
    </row>
    <row r="879" spans="1:16" x14ac:dyDescent="0.25">
      <c r="A879">
        <v>889</v>
      </c>
      <c r="B879" s="2">
        <v>44090.67083333333</v>
      </c>
      <c r="C879" s="2">
        <v>44091.359027777777</v>
      </c>
      <c r="D879">
        <v>5</v>
      </c>
      <c r="E879" t="s">
        <v>4</v>
      </c>
      <c r="F879" t="s">
        <v>10</v>
      </c>
      <c r="G879" t="s">
        <v>27</v>
      </c>
      <c r="H879">
        <v>67</v>
      </c>
      <c r="I879">
        <v>1.49</v>
      </c>
      <c r="J879">
        <v>0.68</v>
      </c>
      <c r="K879" t="s">
        <v>15</v>
      </c>
      <c r="L879">
        <v>80</v>
      </c>
      <c r="M879">
        <v>170</v>
      </c>
      <c r="N879">
        <v>80</v>
      </c>
      <c r="O879">
        <v>40</v>
      </c>
      <c r="P879" t="s">
        <v>46</v>
      </c>
    </row>
    <row r="880" spans="1:16" x14ac:dyDescent="0.25">
      <c r="A880">
        <v>890</v>
      </c>
      <c r="B880" s="2">
        <v>44091.291666666664</v>
      </c>
      <c r="C880" s="2">
        <v>44091.520833333336</v>
      </c>
      <c r="D880">
        <v>4</v>
      </c>
      <c r="E880" t="s">
        <v>4</v>
      </c>
      <c r="F880" t="s">
        <v>10</v>
      </c>
      <c r="G880" t="s">
        <v>31</v>
      </c>
      <c r="H880">
        <v>74</v>
      </c>
      <c r="I880">
        <v>4.45</v>
      </c>
      <c r="J880">
        <v>1.41</v>
      </c>
      <c r="K880" t="s">
        <v>15</v>
      </c>
      <c r="L880">
        <v>63</v>
      </c>
      <c r="M880">
        <v>173</v>
      </c>
      <c r="N880">
        <v>83</v>
      </c>
      <c r="O880">
        <v>46</v>
      </c>
      <c r="P880" t="s">
        <v>46</v>
      </c>
    </row>
    <row r="881" spans="1:16" x14ac:dyDescent="0.25">
      <c r="A881">
        <v>891</v>
      </c>
      <c r="B881" s="2">
        <v>44089.688888888886</v>
      </c>
      <c r="C881" s="2">
        <v>44091.524305555555</v>
      </c>
      <c r="D881">
        <v>2</v>
      </c>
      <c r="E881" t="s">
        <v>4</v>
      </c>
      <c r="F881" t="s">
        <v>3</v>
      </c>
      <c r="G881" t="s">
        <v>32</v>
      </c>
      <c r="H881">
        <v>67</v>
      </c>
      <c r="I881">
        <v>7.07</v>
      </c>
      <c r="J881">
        <v>2.11</v>
      </c>
      <c r="K881" t="s">
        <v>15</v>
      </c>
      <c r="L881">
        <v>72</v>
      </c>
      <c r="M881">
        <v>165</v>
      </c>
      <c r="N881">
        <v>92</v>
      </c>
      <c r="O881">
        <v>65</v>
      </c>
      <c r="P881" t="s">
        <v>44</v>
      </c>
    </row>
    <row r="882" spans="1:16" x14ac:dyDescent="0.25">
      <c r="A882">
        <v>892</v>
      </c>
      <c r="B882" s="2">
        <v>44089.583333333336</v>
      </c>
      <c r="C882" s="2">
        <v>44091.583333333336</v>
      </c>
      <c r="D882">
        <v>5</v>
      </c>
      <c r="E882" t="s">
        <v>6</v>
      </c>
      <c r="F882" t="s">
        <v>3</v>
      </c>
      <c r="G882" t="s">
        <v>27</v>
      </c>
      <c r="H882">
        <v>60</v>
      </c>
      <c r="I882">
        <v>1.61</v>
      </c>
      <c r="J882">
        <v>0.77</v>
      </c>
      <c r="K882" t="s">
        <v>15</v>
      </c>
      <c r="L882">
        <v>103</v>
      </c>
      <c r="M882">
        <v>170</v>
      </c>
      <c r="N882">
        <v>93</v>
      </c>
      <c r="O882">
        <v>55</v>
      </c>
      <c r="P882" t="s">
        <v>44</v>
      </c>
    </row>
    <row r="883" spans="1:16" x14ac:dyDescent="0.25">
      <c r="A883">
        <v>893</v>
      </c>
      <c r="B883" s="2">
        <v>44091.665277777778</v>
      </c>
      <c r="C883" s="2">
        <v>44092.32916666667</v>
      </c>
      <c r="D883">
        <v>4</v>
      </c>
      <c r="E883" t="s">
        <v>4</v>
      </c>
      <c r="F883" t="s">
        <v>3</v>
      </c>
      <c r="G883" t="s">
        <v>24</v>
      </c>
      <c r="H883">
        <v>70</v>
      </c>
      <c r="I883">
        <v>4.95</v>
      </c>
      <c r="J883">
        <v>1.08</v>
      </c>
      <c r="K883" t="s">
        <v>15</v>
      </c>
      <c r="L883">
        <v>74</v>
      </c>
      <c r="M883">
        <v>165</v>
      </c>
      <c r="N883">
        <v>91</v>
      </c>
      <c r="O883">
        <v>55</v>
      </c>
      <c r="P883" t="s">
        <v>44</v>
      </c>
    </row>
    <row r="884" spans="1:16" x14ac:dyDescent="0.25">
      <c r="A884">
        <v>894</v>
      </c>
      <c r="B884" s="2">
        <v>44090.61041666667</v>
      </c>
      <c r="C884" s="2">
        <v>44092.342361111114</v>
      </c>
      <c r="D884">
        <v>2</v>
      </c>
      <c r="E884" t="s">
        <v>6</v>
      </c>
      <c r="F884" t="s">
        <v>10</v>
      </c>
      <c r="G884" t="s">
        <v>31</v>
      </c>
      <c r="H884">
        <v>72</v>
      </c>
      <c r="I884">
        <v>5.26</v>
      </c>
      <c r="J884">
        <v>2.0699999999999998</v>
      </c>
      <c r="K884" t="s">
        <v>15</v>
      </c>
      <c r="L884">
        <v>81</v>
      </c>
      <c r="M884">
        <v>158</v>
      </c>
      <c r="N884">
        <v>83</v>
      </c>
      <c r="O884">
        <v>56</v>
      </c>
      <c r="P884" t="s">
        <v>44</v>
      </c>
    </row>
    <row r="885" spans="1:16" x14ac:dyDescent="0.25">
      <c r="A885">
        <v>895</v>
      </c>
      <c r="B885" s="2">
        <v>44091.675694444442</v>
      </c>
      <c r="C885" s="2">
        <v>44092.345138888886</v>
      </c>
      <c r="D885">
        <v>5</v>
      </c>
      <c r="E885" t="s">
        <v>4</v>
      </c>
      <c r="F885" t="s">
        <v>3</v>
      </c>
      <c r="G885" t="s">
        <v>21</v>
      </c>
      <c r="H885">
        <v>64</v>
      </c>
      <c r="I885">
        <v>2.09</v>
      </c>
      <c r="J885">
        <v>1.07</v>
      </c>
      <c r="K885" t="s">
        <v>15</v>
      </c>
      <c r="L885">
        <v>112</v>
      </c>
      <c r="M885">
        <v>183</v>
      </c>
      <c r="N885">
        <v>77</v>
      </c>
      <c r="O885">
        <v>55</v>
      </c>
      <c r="P885" t="s">
        <v>44</v>
      </c>
    </row>
    <row r="886" spans="1:16" x14ac:dyDescent="0.25">
      <c r="A886">
        <v>896</v>
      </c>
      <c r="B886" s="2">
        <v>44084.458333333336</v>
      </c>
      <c r="C886" s="2">
        <v>44092.386111111111</v>
      </c>
      <c r="D886">
        <v>6</v>
      </c>
      <c r="E886" t="s">
        <v>6</v>
      </c>
      <c r="F886" t="s">
        <v>10</v>
      </c>
      <c r="G886" t="s">
        <v>27</v>
      </c>
      <c r="H886">
        <v>45</v>
      </c>
      <c r="I886">
        <v>0.88</v>
      </c>
      <c r="J886">
        <v>0.69</v>
      </c>
      <c r="K886" t="s">
        <v>15</v>
      </c>
      <c r="L886">
        <v>78</v>
      </c>
      <c r="M886">
        <v>176</v>
      </c>
      <c r="N886">
        <v>107</v>
      </c>
      <c r="O886">
        <v>55</v>
      </c>
      <c r="P886" t="s">
        <v>44</v>
      </c>
    </row>
    <row r="887" spans="1:16" x14ac:dyDescent="0.25">
      <c r="A887">
        <v>897</v>
      </c>
      <c r="B887" s="2">
        <v>44092.291666666664</v>
      </c>
      <c r="C887" s="2">
        <v>44092.552777777775</v>
      </c>
      <c r="D887">
        <v>5</v>
      </c>
      <c r="E887" t="s">
        <v>4</v>
      </c>
      <c r="F887" t="s">
        <v>10</v>
      </c>
      <c r="G887" t="s">
        <v>21</v>
      </c>
      <c r="H887">
        <v>45</v>
      </c>
      <c r="I887">
        <v>0.88</v>
      </c>
      <c r="J887">
        <v>0.5</v>
      </c>
      <c r="K887" t="s">
        <v>15</v>
      </c>
      <c r="L887">
        <v>74</v>
      </c>
      <c r="M887">
        <v>169</v>
      </c>
      <c r="N887">
        <v>85</v>
      </c>
      <c r="O887">
        <v>55</v>
      </c>
      <c r="P887" t="s">
        <v>44</v>
      </c>
    </row>
    <row r="888" spans="1:16" x14ac:dyDescent="0.25">
      <c r="A888">
        <v>898</v>
      </c>
      <c r="B888" s="2">
        <v>44092.29791666667</v>
      </c>
      <c r="C888" s="2">
        <v>44092.613194444442</v>
      </c>
      <c r="D888">
        <v>2</v>
      </c>
      <c r="E888" t="s">
        <v>4</v>
      </c>
      <c r="F888" t="s">
        <v>10</v>
      </c>
      <c r="G888" t="s">
        <v>31</v>
      </c>
      <c r="H888">
        <v>71</v>
      </c>
      <c r="I888">
        <v>1.94</v>
      </c>
      <c r="J888">
        <v>0.76</v>
      </c>
      <c r="K888" t="s">
        <v>15</v>
      </c>
      <c r="L888">
        <v>87</v>
      </c>
      <c r="M888">
        <v>154</v>
      </c>
      <c r="N888">
        <v>88</v>
      </c>
      <c r="O888">
        <v>65</v>
      </c>
      <c r="P888" t="s">
        <v>44</v>
      </c>
    </row>
    <row r="889" spans="1:16" x14ac:dyDescent="0.25">
      <c r="A889">
        <v>899</v>
      </c>
      <c r="B889" s="2">
        <v>44092.593055555553</v>
      </c>
      <c r="C889" s="2">
        <v>44093.333333333336</v>
      </c>
      <c r="D889">
        <v>4</v>
      </c>
      <c r="E889" t="s">
        <v>4</v>
      </c>
      <c r="F889" t="s">
        <v>1</v>
      </c>
      <c r="G889" t="s">
        <v>23</v>
      </c>
      <c r="H889">
        <v>46</v>
      </c>
      <c r="I889">
        <v>4.6500000000000004</v>
      </c>
      <c r="J889">
        <v>1.64</v>
      </c>
      <c r="K889" t="s">
        <v>15</v>
      </c>
      <c r="L889">
        <v>89</v>
      </c>
      <c r="M889">
        <v>176</v>
      </c>
      <c r="N889">
        <v>104</v>
      </c>
      <c r="O889">
        <v>64</v>
      </c>
      <c r="P889" t="s">
        <v>44</v>
      </c>
    </row>
    <row r="890" spans="1:16" x14ac:dyDescent="0.25">
      <c r="A890">
        <v>900</v>
      </c>
      <c r="B890" s="2">
        <v>44092.661805555559</v>
      </c>
      <c r="C890" s="2">
        <v>44093.34375</v>
      </c>
      <c r="D890">
        <v>5</v>
      </c>
      <c r="E890" t="s">
        <v>4</v>
      </c>
      <c r="F890" t="s">
        <v>11</v>
      </c>
      <c r="G890" t="s">
        <v>30</v>
      </c>
      <c r="H890">
        <v>83</v>
      </c>
      <c r="I890">
        <v>9.52</v>
      </c>
      <c r="J890">
        <v>2.73</v>
      </c>
      <c r="K890" t="s">
        <v>15</v>
      </c>
      <c r="L890">
        <v>77</v>
      </c>
      <c r="M890">
        <v>174</v>
      </c>
      <c r="N890">
        <v>79</v>
      </c>
      <c r="O890">
        <v>53</v>
      </c>
      <c r="P890" t="s">
        <v>44</v>
      </c>
    </row>
    <row r="891" spans="1:16" x14ac:dyDescent="0.25">
      <c r="A891">
        <v>901</v>
      </c>
      <c r="B891" s="2">
        <v>44092.588194444441</v>
      </c>
      <c r="C891" s="2">
        <v>44093.513888888891</v>
      </c>
      <c r="D891">
        <v>4</v>
      </c>
      <c r="E891" t="s">
        <v>4</v>
      </c>
      <c r="F891" t="s">
        <v>10</v>
      </c>
      <c r="G891" t="s">
        <v>23</v>
      </c>
      <c r="H891">
        <v>64</v>
      </c>
      <c r="I891">
        <v>1.23</v>
      </c>
      <c r="J891">
        <v>0.56000000000000005</v>
      </c>
      <c r="K891" t="s">
        <v>15</v>
      </c>
      <c r="L891">
        <v>75</v>
      </c>
      <c r="M891">
        <v>158</v>
      </c>
      <c r="N891">
        <v>81</v>
      </c>
      <c r="O891">
        <v>70</v>
      </c>
      <c r="P891" t="s">
        <v>44</v>
      </c>
    </row>
    <row r="892" spans="1:16" x14ac:dyDescent="0.25">
      <c r="A892">
        <v>902</v>
      </c>
      <c r="B892" s="2">
        <v>44093.291666666664</v>
      </c>
      <c r="C892" s="2">
        <v>44093.568749999999</v>
      </c>
      <c r="D892">
        <v>5</v>
      </c>
      <c r="E892" t="s">
        <v>4</v>
      </c>
      <c r="F892" t="s">
        <v>10</v>
      </c>
      <c r="G892" t="s">
        <v>30</v>
      </c>
      <c r="H892">
        <v>70</v>
      </c>
      <c r="I892">
        <v>1.82</v>
      </c>
      <c r="J892">
        <v>0.74</v>
      </c>
      <c r="K892" t="s">
        <v>15</v>
      </c>
      <c r="L892">
        <v>80</v>
      </c>
      <c r="M892">
        <v>155</v>
      </c>
      <c r="N892">
        <v>75</v>
      </c>
      <c r="O892">
        <v>55</v>
      </c>
      <c r="P892" t="s">
        <v>44</v>
      </c>
    </row>
    <row r="893" spans="1:16" x14ac:dyDescent="0.25">
      <c r="A893">
        <v>903</v>
      </c>
      <c r="B893" s="2">
        <v>44094.652777777781</v>
      </c>
      <c r="C893" s="2">
        <v>44095.348611111112</v>
      </c>
      <c r="D893">
        <v>4</v>
      </c>
      <c r="E893" t="s">
        <v>4</v>
      </c>
      <c r="F893" t="s">
        <v>10</v>
      </c>
      <c r="G893" t="s">
        <v>33</v>
      </c>
      <c r="H893">
        <v>74</v>
      </c>
      <c r="I893">
        <v>11.1</v>
      </c>
      <c r="J893">
        <v>2.59</v>
      </c>
      <c r="K893" t="s">
        <v>15</v>
      </c>
      <c r="L893">
        <v>88</v>
      </c>
      <c r="M893">
        <v>170</v>
      </c>
      <c r="N893">
        <v>78</v>
      </c>
      <c r="O893">
        <v>35</v>
      </c>
      <c r="P893" t="s">
        <v>46</v>
      </c>
    </row>
    <row r="894" spans="1:16" x14ac:dyDescent="0.25">
      <c r="A894">
        <v>904</v>
      </c>
      <c r="B894" s="2">
        <v>44094.65625</v>
      </c>
      <c r="C894" s="2">
        <v>44095.359027777777</v>
      </c>
      <c r="D894">
        <v>6</v>
      </c>
      <c r="E894" t="s">
        <v>4</v>
      </c>
      <c r="F894" t="s">
        <v>11</v>
      </c>
      <c r="G894" t="s">
        <v>23</v>
      </c>
      <c r="H894">
        <v>66</v>
      </c>
      <c r="I894">
        <v>2.38</v>
      </c>
      <c r="J894">
        <v>1.02</v>
      </c>
      <c r="K894" t="s">
        <v>15</v>
      </c>
      <c r="L894">
        <v>127</v>
      </c>
      <c r="M894">
        <v>150</v>
      </c>
      <c r="N894">
        <v>64</v>
      </c>
      <c r="O894">
        <v>45</v>
      </c>
      <c r="P894" t="s">
        <v>46</v>
      </c>
    </row>
    <row r="895" spans="1:16" x14ac:dyDescent="0.25">
      <c r="A895">
        <v>905</v>
      </c>
      <c r="B895" s="2">
        <v>44094.666666666664</v>
      </c>
      <c r="C895" s="2">
        <v>44095.537499999999</v>
      </c>
      <c r="D895">
        <v>4</v>
      </c>
      <c r="E895" t="s">
        <v>4</v>
      </c>
      <c r="F895" t="s">
        <v>10</v>
      </c>
      <c r="G895" t="s">
        <v>32</v>
      </c>
      <c r="H895">
        <v>65</v>
      </c>
      <c r="I895">
        <v>3.2</v>
      </c>
      <c r="J895">
        <v>1.06</v>
      </c>
      <c r="K895" t="s">
        <v>15</v>
      </c>
      <c r="L895">
        <v>78</v>
      </c>
      <c r="M895">
        <v>170</v>
      </c>
      <c r="N895">
        <v>83</v>
      </c>
      <c r="O895">
        <v>57</v>
      </c>
      <c r="P895" t="s">
        <v>44</v>
      </c>
    </row>
    <row r="896" spans="1:16" x14ac:dyDescent="0.25">
      <c r="A896">
        <v>906</v>
      </c>
      <c r="B896" s="2">
        <v>44091.42083333333</v>
      </c>
      <c r="C896" s="2">
        <v>44095.590277777781</v>
      </c>
      <c r="D896">
        <v>5</v>
      </c>
      <c r="E896" t="s">
        <v>6</v>
      </c>
      <c r="F896" t="s">
        <v>10</v>
      </c>
      <c r="G896" t="s">
        <v>33</v>
      </c>
      <c r="H896">
        <v>83</v>
      </c>
      <c r="I896">
        <v>20.21</v>
      </c>
      <c r="J896">
        <v>27.44</v>
      </c>
      <c r="K896" t="s">
        <v>15</v>
      </c>
      <c r="L896">
        <v>66</v>
      </c>
      <c r="M896">
        <v>160</v>
      </c>
      <c r="N896">
        <v>64</v>
      </c>
      <c r="O896">
        <v>29</v>
      </c>
      <c r="P896" t="s">
        <v>45</v>
      </c>
    </row>
    <row r="897" spans="1:16" x14ac:dyDescent="0.25">
      <c r="A897">
        <v>907</v>
      </c>
      <c r="B897" s="2">
        <v>44095.291666666664</v>
      </c>
      <c r="C897" s="2">
        <v>44095.599305555559</v>
      </c>
      <c r="D897">
        <v>6</v>
      </c>
      <c r="E897" t="s">
        <v>4</v>
      </c>
      <c r="F897" t="s">
        <v>1</v>
      </c>
      <c r="G897" t="s">
        <v>23</v>
      </c>
      <c r="H897">
        <v>66</v>
      </c>
      <c r="I897">
        <v>7.21</v>
      </c>
      <c r="J897">
        <v>1.95</v>
      </c>
      <c r="K897" t="s">
        <v>15</v>
      </c>
      <c r="L897">
        <v>68</v>
      </c>
      <c r="M897">
        <v>150</v>
      </c>
      <c r="N897">
        <v>64</v>
      </c>
      <c r="O897">
        <v>55</v>
      </c>
      <c r="P897" t="s">
        <v>44</v>
      </c>
    </row>
    <row r="898" spans="1:16" x14ac:dyDescent="0.25">
      <c r="A898">
        <v>908</v>
      </c>
      <c r="B898" s="2">
        <v>44087.375</v>
      </c>
      <c r="C898" s="2">
        <v>44096.336805555555</v>
      </c>
      <c r="D898">
        <v>2</v>
      </c>
      <c r="E898" t="s">
        <v>6</v>
      </c>
      <c r="F898" t="s">
        <v>10</v>
      </c>
      <c r="G898" t="s">
        <v>33</v>
      </c>
      <c r="H898">
        <v>85</v>
      </c>
      <c r="I898">
        <v>4.79</v>
      </c>
      <c r="J898">
        <v>2.09</v>
      </c>
      <c r="K898" t="s">
        <v>15</v>
      </c>
      <c r="L898">
        <v>147</v>
      </c>
      <c r="M898">
        <v>150</v>
      </c>
      <c r="N898">
        <v>68</v>
      </c>
      <c r="O898">
        <v>25</v>
      </c>
      <c r="P898" t="s">
        <v>45</v>
      </c>
    </row>
    <row r="899" spans="1:16" x14ac:dyDescent="0.25">
      <c r="A899">
        <v>909</v>
      </c>
      <c r="B899" s="2">
        <v>44095.666666666664</v>
      </c>
      <c r="C899" s="2">
        <v>44096.34375</v>
      </c>
      <c r="D899">
        <v>6</v>
      </c>
      <c r="E899" t="s">
        <v>4</v>
      </c>
      <c r="F899" t="s">
        <v>1</v>
      </c>
      <c r="G899" t="s">
        <v>29</v>
      </c>
      <c r="H899">
        <v>73</v>
      </c>
      <c r="I899">
        <v>11.02</v>
      </c>
      <c r="J899">
        <v>4.76</v>
      </c>
      <c r="K899" t="s">
        <v>15</v>
      </c>
      <c r="L899">
        <v>71</v>
      </c>
      <c r="M899">
        <v>170</v>
      </c>
      <c r="N899">
        <v>80</v>
      </c>
      <c r="O899">
        <v>25</v>
      </c>
      <c r="P899" t="s">
        <v>45</v>
      </c>
    </row>
    <row r="900" spans="1:16" x14ac:dyDescent="0.25">
      <c r="A900">
        <v>910</v>
      </c>
      <c r="B900" s="2">
        <v>44094.583333333336</v>
      </c>
      <c r="C900" s="2">
        <v>44096.347222222219</v>
      </c>
      <c r="D900">
        <v>4</v>
      </c>
      <c r="E900" t="s">
        <v>6</v>
      </c>
      <c r="F900" t="s">
        <v>3</v>
      </c>
      <c r="G900" t="s">
        <v>35</v>
      </c>
      <c r="H900">
        <v>73</v>
      </c>
      <c r="I900">
        <v>9.4</v>
      </c>
      <c r="J900">
        <v>6.41</v>
      </c>
      <c r="K900" t="s">
        <v>15</v>
      </c>
      <c r="L900">
        <v>71</v>
      </c>
      <c r="M900">
        <v>172</v>
      </c>
      <c r="N900">
        <v>90</v>
      </c>
      <c r="O900">
        <v>40</v>
      </c>
      <c r="P900" t="s">
        <v>46</v>
      </c>
    </row>
    <row r="901" spans="1:16" x14ac:dyDescent="0.25">
      <c r="A901">
        <v>911</v>
      </c>
      <c r="B901" s="2">
        <v>44084.413194444445</v>
      </c>
      <c r="C901" s="2">
        <v>44096.354166666664</v>
      </c>
      <c r="D901">
        <v>5</v>
      </c>
      <c r="E901" t="s">
        <v>6</v>
      </c>
      <c r="F901" t="s">
        <v>11</v>
      </c>
      <c r="G901" t="s">
        <v>26</v>
      </c>
      <c r="H901">
        <v>68</v>
      </c>
      <c r="I901">
        <v>42.5</v>
      </c>
      <c r="J901">
        <v>57.27</v>
      </c>
      <c r="K901" t="s">
        <v>13</v>
      </c>
      <c r="L901">
        <v>86</v>
      </c>
      <c r="M901">
        <v>148</v>
      </c>
      <c r="N901">
        <v>61</v>
      </c>
      <c r="O901">
        <v>55</v>
      </c>
      <c r="P901" t="s">
        <v>44</v>
      </c>
    </row>
    <row r="902" spans="1:16" x14ac:dyDescent="0.25">
      <c r="A902">
        <v>912</v>
      </c>
      <c r="B902" s="2">
        <v>44091.493055555555</v>
      </c>
      <c r="C902" s="2">
        <v>44096.520833333336</v>
      </c>
      <c r="D902">
        <v>2</v>
      </c>
      <c r="E902" t="s">
        <v>6</v>
      </c>
      <c r="F902" t="s">
        <v>3</v>
      </c>
      <c r="G902" t="s">
        <v>33</v>
      </c>
      <c r="H902">
        <v>81</v>
      </c>
      <c r="I902">
        <v>8.44</v>
      </c>
      <c r="J902">
        <v>3.93</v>
      </c>
      <c r="K902" t="s">
        <v>15</v>
      </c>
      <c r="L902">
        <v>75</v>
      </c>
      <c r="M902">
        <v>179</v>
      </c>
      <c r="N902">
        <v>101</v>
      </c>
      <c r="O902">
        <v>40</v>
      </c>
      <c r="P902" t="s">
        <v>46</v>
      </c>
    </row>
    <row r="903" spans="1:16" x14ac:dyDescent="0.25">
      <c r="A903">
        <v>913</v>
      </c>
      <c r="B903" s="2">
        <v>44094.659722222219</v>
      </c>
      <c r="C903" s="2">
        <v>44097.331250000003</v>
      </c>
      <c r="D903">
        <v>5</v>
      </c>
      <c r="E903" t="s">
        <v>4</v>
      </c>
      <c r="F903" t="s">
        <v>3</v>
      </c>
      <c r="G903" t="s">
        <v>31</v>
      </c>
      <c r="H903">
        <v>75</v>
      </c>
      <c r="I903">
        <v>12.28</v>
      </c>
      <c r="J903">
        <v>2.83</v>
      </c>
      <c r="K903" t="s">
        <v>15</v>
      </c>
      <c r="L903">
        <v>69</v>
      </c>
      <c r="M903">
        <v>176</v>
      </c>
      <c r="N903">
        <v>91</v>
      </c>
      <c r="O903">
        <v>40</v>
      </c>
      <c r="P903" t="s">
        <v>46</v>
      </c>
    </row>
    <row r="904" spans="1:16" x14ac:dyDescent="0.25">
      <c r="A904">
        <v>914</v>
      </c>
      <c r="B904" s="2">
        <v>44096.666666666664</v>
      </c>
      <c r="C904" s="2">
        <v>44097.336805555555</v>
      </c>
      <c r="D904">
        <v>2</v>
      </c>
      <c r="E904" t="s">
        <v>4</v>
      </c>
      <c r="F904" t="s">
        <v>3</v>
      </c>
      <c r="G904" t="s">
        <v>28</v>
      </c>
      <c r="H904">
        <v>49</v>
      </c>
      <c r="I904">
        <v>2.08</v>
      </c>
      <c r="J904">
        <v>0.84</v>
      </c>
      <c r="K904" t="s">
        <v>13</v>
      </c>
      <c r="L904">
        <v>82</v>
      </c>
      <c r="M904">
        <v>175</v>
      </c>
      <c r="N904">
        <v>95</v>
      </c>
      <c r="O904">
        <v>45</v>
      </c>
      <c r="P904" t="s">
        <v>46</v>
      </c>
    </row>
    <row r="905" spans="1:16" x14ac:dyDescent="0.25">
      <c r="A905">
        <v>915</v>
      </c>
      <c r="B905" s="2">
        <v>44096.666666666664</v>
      </c>
      <c r="C905" s="2">
        <v>44097.34375</v>
      </c>
      <c r="D905">
        <v>4</v>
      </c>
      <c r="E905" t="s">
        <v>4</v>
      </c>
      <c r="F905" t="s">
        <v>11</v>
      </c>
      <c r="G905" t="s">
        <v>24</v>
      </c>
      <c r="H905">
        <v>72</v>
      </c>
      <c r="I905">
        <v>5.24</v>
      </c>
      <c r="J905">
        <v>2.4700000000000002</v>
      </c>
      <c r="K905" t="s">
        <v>15</v>
      </c>
      <c r="L905">
        <v>68</v>
      </c>
      <c r="M905">
        <v>178</v>
      </c>
      <c r="N905">
        <v>98</v>
      </c>
      <c r="O905">
        <v>20</v>
      </c>
      <c r="P905" t="s">
        <v>47</v>
      </c>
    </row>
    <row r="906" spans="1:16" x14ac:dyDescent="0.25">
      <c r="A906">
        <v>916</v>
      </c>
      <c r="B906" s="2">
        <v>44096.666666666664</v>
      </c>
      <c r="C906" s="2">
        <v>44097.34375</v>
      </c>
      <c r="D906">
        <v>6</v>
      </c>
      <c r="E906" t="s">
        <v>4</v>
      </c>
      <c r="F906" t="s">
        <v>10</v>
      </c>
      <c r="G906" t="s">
        <v>30</v>
      </c>
      <c r="H906">
        <v>60</v>
      </c>
      <c r="I906">
        <v>0.94</v>
      </c>
      <c r="J906">
        <v>0.67</v>
      </c>
      <c r="K906" t="s">
        <v>15</v>
      </c>
      <c r="L906">
        <v>77</v>
      </c>
      <c r="M906">
        <v>157</v>
      </c>
      <c r="N906">
        <v>69</v>
      </c>
      <c r="O906">
        <v>45</v>
      </c>
      <c r="P906" t="s">
        <v>46</v>
      </c>
    </row>
    <row r="907" spans="1:16" x14ac:dyDescent="0.25">
      <c r="A907">
        <v>917</v>
      </c>
      <c r="B907" s="2">
        <v>44092.893750000003</v>
      </c>
      <c r="C907" s="2">
        <v>44097.551388888889</v>
      </c>
      <c r="D907">
        <v>6</v>
      </c>
      <c r="E907" t="s">
        <v>6</v>
      </c>
      <c r="F907" t="s">
        <v>11</v>
      </c>
      <c r="G907" t="s">
        <v>30</v>
      </c>
      <c r="H907">
        <v>84</v>
      </c>
      <c r="I907">
        <v>54.16</v>
      </c>
      <c r="J907">
        <v>9.5</v>
      </c>
      <c r="K907" t="s">
        <v>15</v>
      </c>
      <c r="L907">
        <v>98</v>
      </c>
      <c r="M907">
        <v>160</v>
      </c>
      <c r="N907">
        <v>79</v>
      </c>
      <c r="O907">
        <v>65</v>
      </c>
      <c r="P907" t="s">
        <v>44</v>
      </c>
    </row>
    <row r="908" spans="1:16" x14ac:dyDescent="0.25">
      <c r="A908">
        <v>918</v>
      </c>
      <c r="B908" s="2">
        <v>44097.291666666664</v>
      </c>
      <c r="C908" s="2">
        <v>44097.650694444441</v>
      </c>
      <c r="D908">
        <v>4</v>
      </c>
      <c r="E908" t="s">
        <v>4</v>
      </c>
      <c r="F908" t="s">
        <v>3</v>
      </c>
      <c r="G908" t="s">
        <v>31</v>
      </c>
      <c r="H908">
        <v>79</v>
      </c>
      <c r="I908">
        <v>15.46</v>
      </c>
      <c r="J908">
        <v>2.35</v>
      </c>
      <c r="K908" t="s">
        <v>15</v>
      </c>
      <c r="L908">
        <v>69</v>
      </c>
      <c r="M908">
        <v>155</v>
      </c>
      <c r="N908">
        <v>62</v>
      </c>
      <c r="O908">
        <v>45</v>
      </c>
      <c r="P908" t="s">
        <v>46</v>
      </c>
    </row>
    <row r="909" spans="1:16" x14ac:dyDescent="0.25">
      <c r="A909">
        <v>919</v>
      </c>
      <c r="B909" s="2">
        <v>44095.666666666664</v>
      </c>
      <c r="C909" s="2">
        <v>44098.333333333336</v>
      </c>
      <c r="D909">
        <v>3</v>
      </c>
      <c r="E909" t="s">
        <v>4</v>
      </c>
      <c r="F909" t="s">
        <v>11</v>
      </c>
      <c r="G909" t="s">
        <v>33</v>
      </c>
      <c r="H909">
        <v>81</v>
      </c>
      <c r="I909">
        <v>12.49</v>
      </c>
      <c r="J909">
        <v>7.82</v>
      </c>
      <c r="K909" t="s">
        <v>15</v>
      </c>
      <c r="L909">
        <v>69</v>
      </c>
      <c r="M909">
        <v>174</v>
      </c>
      <c r="N909">
        <v>105</v>
      </c>
      <c r="O909">
        <v>54</v>
      </c>
      <c r="P909" t="s">
        <v>44</v>
      </c>
    </row>
    <row r="910" spans="1:16" x14ac:dyDescent="0.25">
      <c r="A910">
        <v>920</v>
      </c>
      <c r="B910" s="2">
        <v>44096.707638888889</v>
      </c>
      <c r="C910" s="2">
        <v>44098.340277777781</v>
      </c>
      <c r="D910">
        <v>4</v>
      </c>
      <c r="E910" t="s">
        <v>6</v>
      </c>
      <c r="F910" t="s">
        <v>3</v>
      </c>
      <c r="G910" t="s">
        <v>32</v>
      </c>
      <c r="H910">
        <v>78</v>
      </c>
      <c r="I910">
        <v>5.14</v>
      </c>
      <c r="J910">
        <v>1.27</v>
      </c>
      <c r="K910" t="s">
        <v>15</v>
      </c>
      <c r="L910">
        <v>93</v>
      </c>
      <c r="M910">
        <v>162</v>
      </c>
      <c r="N910">
        <v>69</v>
      </c>
      <c r="O910">
        <v>40</v>
      </c>
      <c r="P910" t="s">
        <v>46</v>
      </c>
    </row>
    <row r="911" spans="1:16" x14ac:dyDescent="0.25">
      <c r="A911">
        <v>921</v>
      </c>
      <c r="B911" s="2">
        <v>44097.449305555558</v>
      </c>
      <c r="C911" s="2">
        <v>44098.34375</v>
      </c>
      <c r="D911">
        <v>2</v>
      </c>
      <c r="E911" t="s">
        <v>4</v>
      </c>
      <c r="F911" t="s">
        <v>10</v>
      </c>
      <c r="G911" t="s">
        <v>31</v>
      </c>
      <c r="H911">
        <v>50</v>
      </c>
      <c r="I911">
        <v>5.0199999999999996</v>
      </c>
      <c r="J911">
        <v>4.53</v>
      </c>
      <c r="K911" t="s">
        <v>15</v>
      </c>
      <c r="L911">
        <v>77</v>
      </c>
      <c r="M911">
        <v>169</v>
      </c>
      <c r="N911">
        <v>99</v>
      </c>
      <c r="O911">
        <v>60</v>
      </c>
      <c r="P911" t="s">
        <v>44</v>
      </c>
    </row>
    <row r="912" spans="1:16" x14ac:dyDescent="0.25">
      <c r="A912">
        <v>922</v>
      </c>
      <c r="B912" s="2">
        <v>44097.649305555555</v>
      </c>
      <c r="C912" s="2">
        <v>44098.347222222219</v>
      </c>
      <c r="D912">
        <v>5</v>
      </c>
      <c r="E912" t="s">
        <v>4</v>
      </c>
      <c r="F912" t="s">
        <v>1</v>
      </c>
      <c r="G912" t="s">
        <v>21</v>
      </c>
      <c r="H912">
        <v>49</v>
      </c>
      <c r="I912">
        <v>31.52</v>
      </c>
      <c r="J912">
        <v>10.51</v>
      </c>
      <c r="K912" t="s">
        <v>15</v>
      </c>
      <c r="L912">
        <v>82</v>
      </c>
      <c r="M912">
        <v>175</v>
      </c>
      <c r="N912">
        <v>77</v>
      </c>
      <c r="O912">
        <v>33</v>
      </c>
      <c r="P912" t="s">
        <v>46</v>
      </c>
    </row>
    <row r="913" spans="1:16" x14ac:dyDescent="0.25">
      <c r="A913">
        <v>923</v>
      </c>
      <c r="B913" s="2">
        <v>44097.666666666664</v>
      </c>
      <c r="C913" s="2">
        <v>44098.347222222219</v>
      </c>
      <c r="D913">
        <v>6</v>
      </c>
      <c r="E913" t="s">
        <v>4</v>
      </c>
      <c r="F913" t="s">
        <v>3</v>
      </c>
      <c r="G913" t="s">
        <v>23</v>
      </c>
      <c r="H913">
        <v>77</v>
      </c>
      <c r="I913">
        <v>4.83</v>
      </c>
      <c r="J913">
        <v>0.81</v>
      </c>
      <c r="K913" t="s">
        <v>15</v>
      </c>
      <c r="L913">
        <v>62</v>
      </c>
      <c r="M913">
        <v>176</v>
      </c>
      <c r="N913">
        <v>93</v>
      </c>
      <c r="O913">
        <v>65</v>
      </c>
      <c r="P913" t="s">
        <v>44</v>
      </c>
    </row>
    <row r="914" spans="1:16" x14ac:dyDescent="0.25">
      <c r="A914">
        <v>924</v>
      </c>
      <c r="B914" s="2">
        <v>44094.583333333336</v>
      </c>
      <c r="C914" s="2">
        <v>44098.475694444445</v>
      </c>
      <c r="D914">
        <v>4</v>
      </c>
      <c r="E914" t="s">
        <v>6</v>
      </c>
      <c r="F914" t="s">
        <v>11</v>
      </c>
      <c r="G914" t="s">
        <v>32</v>
      </c>
      <c r="H914">
        <v>72</v>
      </c>
      <c r="I914">
        <v>3.51</v>
      </c>
      <c r="J914">
        <v>1.84</v>
      </c>
      <c r="K914" t="s">
        <v>15</v>
      </c>
      <c r="L914">
        <v>116</v>
      </c>
      <c r="M914">
        <v>163</v>
      </c>
      <c r="N914">
        <v>64</v>
      </c>
      <c r="O914">
        <v>15</v>
      </c>
      <c r="P914" t="s">
        <v>47</v>
      </c>
    </row>
    <row r="915" spans="1:16" x14ac:dyDescent="0.25">
      <c r="A915">
        <v>925</v>
      </c>
      <c r="B915" s="2">
        <v>44097.666666666664</v>
      </c>
      <c r="C915" s="2">
        <v>44098.574999999997</v>
      </c>
      <c r="D915">
        <v>3</v>
      </c>
      <c r="E915" t="s">
        <v>4</v>
      </c>
      <c r="F915" t="s">
        <v>10</v>
      </c>
      <c r="G915" t="s">
        <v>33</v>
      </c>
      <c r="H915">
        <v>51</v>
      </c>
      <c r="I915">
        <v>0.88</v>
      </c>
      <c r="J915">
        <v>0.79</v>
      </c>
      <c r="K915" t="s">
        <v>15</v>
      </c>
      <c r="L915">
        <v>131</v>
      </c>
      <c r="M915">
        <v>188</v>
      </c>
      <c r="N915">
        <v>109</v>
      </c>
      <c r="O915">
        <v>60</v>
      </c>
      <c r="P915" t="s">
        <v>44</v>
      </c>
    </row>
    <row r="916" spans="1:16" x14ac:dyDescent="0.25">
      <c r="A916">
        <v>926</v>
      </c>
      <c r="B916" s="2">
        <v>44096.5625</v>
      </c>
      <c r="C916" s="2">
        <v>44098.593055555553</v>
      </c>
      <c r="D916">
        <v>2</v>
      </c>
      <c r="E916" t="s">
        <v>6</v>
      </c>
      <c r="F916" t="s">
        <v>10</v>
      </c>
      <c r="G916" t="s">
        <v>31</v>
      </c>
      <c r="H916">
        <v>70</v>
      </c>
      <c r="I916">
        <v>3.09</v>
      </c>
      <c r="J916">
        <v>3.08</v>
      </c>
      <c r="K916" t="s">
        <v>15</v>
      </c>
      <c r="L916">
        <v>79</v>
      </c>
      <c r="M916">
        <v>178</v>
      </c>
      <c r="N916">
        <v>80</v>
      </c>
      <c r="O916">
        <v>60</v>
      </c>
      <c r="P916" t="s">
        <v>44</v>
      </c>
    </row>
    <row r="917" spans="1:16" x14ac:dyDescent="0.25">
      <c r="A917">
        <v>927</v>
      </c>
      <c r="B917" s="2">
        <v>44098.289583333331</v>
      </c>
      <c r="C917" s="2">
        <v>44098.602777777778</v>
      </c>
      <c r="D917">
        <v>6</v>
      </c>
      <c r="E917" t="s">
        <v>4</v>
      </c>
      <c r="F917" t="s">
        <v>10</v>
      </c>
      <c r="G917" t="s">
        <v>23</v>
      </c>
      <c r="H917">
        <v>73</v>
      </c>
      <c r="I917">
        <v>3.05</v>
      </c>
      <c r="J917">
        <v>0.9</v>
      </c>
      <c r="K917" t="s">
        <v>15</v>
      </c>
      <c r="L917">
        <v>81</v>
      </c>
      <c r="M917">
        <v>163</v>
      </c>
      <c r="N917">
        <v>67</v>
      </c>
      <c r="O917">
        <v>55</v>
      </c>
      <c r="P917" t="s">
        <v>44</v>
      </c>
    </row>
    <row r="918" spans="1:16" x14ac:dyDescent="0.25">
      <c r="A918">
        <v>928</v>
      </c>
      <c r="B918" s="2">
        <v>44098.646527777775</v>
      </c>
      <c r="C918" s="2">
        <v>44099.339583333334</v>
      </c>
      <c r="D918">
        <v>2</v>
      </c>
      <c r="E918" t="s">
        <v>4</v>
      </c>
      <c r="F918" t="s">
        <v>3</v>
      </c>
      <c r="G918" t="s">
        <v>35</v>
      </c>
      <c r="H918">
        <v>77</v>
      </c>
      <c r="I918">
        <v>6.59</v>
      </c>
      <c r="J918">
        <v>1.01</v>
      </c>
      <c r="K918" t="s">
        <v>15</v>
      </c>
      <c r="L918">
        <v>103</v>
      </c>
      <c r="M918">
        <v>164</v>
      </c>
      <c r="N918">
        <v>70</v>
      </c>
      <c r="O918">
        <v>65</v>
      </c>
      <c r="P918" t="s">
        <v>44</v>
      </c>
    </row>
    <row r="919" spans="1:16" x14ac:dyDescent="0.25">
      <c r="A919">
        <v>929</v>
      </c>
      <c r="B919" s="2">
        <v>44097.643055555556</v>
      </c>
      <c r="C919" s="2">
        <v>44099.341666666667</v>
      </c>
      <c r="D919">
        <v>6</v>
      </c>
      <c r="E919" t="s">
        <v>4</v>
      </c>
      <c r="F919" t="s">
        <v>3</v>
      </c>
      <c r="G919" t="s">
        <v>27</v>
      </c>
      <c r="H919">
        <v>78</v>
      </c>
      <c r="I919">
        <v>5.14</v>
      </c>
      <c r="J919">
        <v>1.51</v>
      </c>
      <c r="K919" t="s">
        <v>15</v>
      </c>
      <c r="L919">
        <v>112</v>
      </c>
      <c r="M919">
        <v>167</v>
      </c>
      <c r="N919">
        <v>100</v>
      </c>
      <c r="O919">
        <v>39</v>
      </c>
      <c r="P919" t="s">
        <v>46</v>
      </c>
    </row>
    <row r="920" spans="1:16" x14ac:dyDescent="0.25">
      <c r="A920">
        <v>930</v>
      </c>
      <c r="B920" s="2">
        <v>44095.583333333336</v>
      </c>
      <c r="C920" s="2">
        <v>44099.343055555553</v>
      </c>
      <c r="D920">
        <v>4</v>
      </c>
      <c r="E920" t="s">
        <v>6</v>
      </c>
      <c r="F920" t="s">
        <v>10</v>
      </c>
      <c r="G920" t="s">
        <v>24</v>
      </c>
      <c r="H920">
        <v>61</v>
      </c>
      <c r="I920">
        <v>3</v>
      </c>
      <c r="J920">
        <v>1.17</v>
      </c>
      <c r="K920" t="s">
        <v>15</v>
      </c>
      <c r="L920">
        <v>85</v>
      </c>
      <c r="M920">
        <v>175</v>
      </c>
      <c r="N920">
        <v>81</v>
      </c>
      <c r="O920">
        <v>50</v>
      </c>
      <c r="P920" t="s">
        <v>46</v>
      </c>
    </row>
    <row r="921" spans="1:16" x14ac:dyDescent="0.25">
      <c r="A921">
        <v>931</v>
      </c>
      <c r="B921" s="2">
        <v>44098.666666666664</v>
      </c>
      <c r="C921" s="2">
        <v>44099.34652777778</v>
      </c>
      <c r="D921">
        <v>5</v>
      </c>
      <c r="E921" t="s">
        <v>4</v>
      </c>
      <c r="F921" t="s">
        <v>1</v>
      </c>
      <c r="G921" t="s">
        <v>21</v>
      </c>
      <c r="H921">
        <v>77</v>
      </c>
      <c r="I921">
        <v>13.92</v>
      </c>
      <c r="J921">
        <v>2.93</v>
      </c>
      <c r="K921" t="s">
        <v>15</v>
      </c>
      <c r="L921">
        <v>193</v>
      </c>
      <c r="M921">
        <v>145</v>
      </c>
      <c r="N921">
        <v>45</v>
      </c>
      <c r="O921">
        <v>55</v>
      </c>
      <c r="P921" t="s">
        <v>44</v>
      </c>
    </row>
    <row r="922" spans="1:16" x14ac:dyDescent="0.25">
      <c r="A922">
        <v>932</v>
      </c>
      <c r="B922" s="2">
        <v>44095.583333333336</v>
      </c>
      <c r="C922" s="2">
        <v>44099.574999999997</v>
      </c>
      <c r="D922">
        <v>6</v>
      </c>
      <c r="E922" t="s">
        <v>4</v>
      </c>
      <c r="F922" t="s">
        <v>3</v>
      </c>
      <c r="G922" t="s">
        <v>27</v>
      </c>
      <c r="H922">
        <v>78</v>
      </c>
      <c r="I922">
        <v>8.15</v>
      </c>
      <c r="J922">
        <v>2.6</v>
      </c>
      <c r="K922" t="s">
        <v>15</v>
      </c>
      <c r="L922">
        <v>77</v>
      </c>
      <c r="M922">
        <v>163</v>
      </c>
      <c r="N922">
        <v>75</v>
      </c>
      <c r="O922">
        <v>53</v>
      </c>
      <c r="P922" t="s">
        <v>44</v>
      </c>
    </row>
    <row r="923" spans="1:16" x14ac:dyDescent="0.25">
      <c r="A923">
        <v>933</v>
      </c>
      <c r="B923" s="2">
        <v>44099.3</v>
      </c>
      <c r="C923" s="2">
        <v>44099.577777777777</v>
      </c>
      <c r="D923">
        <v>2</v>
      </c>
      <c r="E923" t="s">
        <v>4</v>
      </c>
      <c r="F923" t="s">
        <v>3</v>
      </c>
      <c r="G923" t="s">
        <v>35</v>
      </c>
      <c r="H923">
        <v>79</v>
      </c>
      <c r="I923">
        <v>5.48</v>
      </c>
      <c r="J923">
        <v>0.86</v>
      </c>
      <c r="K923" t="s">
        <v>15</v>
      </c>
      <c r="L923">
        <v>90</v>
      </c>
      <c r="M923">
        <v>176</v>
      </c>
      <c r="N923">
        <v>60</v>
      </c>
      <c r="O923">
        <v>50</v>
      </c>
      <c r="P923" t="s">
        <v>46</v>
      </c>
    </row>
    <row r="924" spans="1:16" x14ac:dyDescent="0.25">
      <c r="A924">
        <v>934</v>
      </c>
      <c r="B924" s="2">
        <v>44099.754861111112</v>
      </c>
      <c r="C924" s="2">
        <v>44099.828472222223</v>
      </c>
      <c r="D924">
        <v>1</v>
      </c>
      <c r="E924" t="s">
        <v>2</v>
      </c>
      <c r="F924" t="s">
        <v>1</v>
      </c>
      <c r="G924" t="s">
        <v>33</v>
      </c>
      <c r="H924">
        <v>49</v>
      </c>
      <c r="I924">
        <v>16.079999999999998</v>
      </c>
      <c r="J924">
        <v>3.24</v>
      </c>
      <c r="K924" t="s">
        <v>15</v>
      </c>
      <c r="L924">
        <v>105</v>
      </c>
      <c r="M924">
        <v>158</v>
      </c>
      <c r="N924">
        <v>63</v>
      </c>
      <c r="O924">
        <v>60</v>
      </c>
      <c r="P924" t="s">
        <v>44</v>
      </c>
    </row>
    <row r="925" spans="1:16" x14ac:dyDescent="0.25">
      <c r="A925">
        <v>935</v>
      </c>
      <c r="B925" s="2">
        <v>44099.582638888889</v>
      </c>
      <c r="C925" s="2">
        <v>44100.326388888891</v>
      </c>
      <c r="D925">
        <v>5</v>
      </c>
      <c r="E925" t="s">
        <v>4</v>
      </c>
      <c r="F925" t="s">
        <v>11</v>
      </c>
      <c r="G925" t="s">
        <v>35</v>
      </c>
      <c r="H925">
        <v>68</v>
      </c>
      <c r="I925">
        <v>2.71</v>
      </c>
      <c r="J925">
        <v>1.46</v>
      </c>
      <c r="K925" t="s">
        <v>15</v>
      </c>
      <c r="L925">
        <v>95</v>
      </c>
      <c r="M925">
        <v>168</v>
      </c>
      <c r="N925">
        <v>65</v>
      </c>
      <c r="O925">
        <v>46</v>
      </c>
      <c r="P925" t="s">
        <v>46</v>
      </c>
    </row>
    <row r="926" spans="1:16" x14ac:dyDescent="0.25">
      <c r="A926">
        <v>936</v>
      </c>
      <c r="B926" s="2">
        <v>44099.631944444445</v>
      </c>
      <c r="C926" s="2">
        <v>44100.327777777777</v>
      </c>
      <c r="D926">
        <v>4</v>
      </c>
      <c r="E926" t="s">
        <v>4</v>
      </c>
      <c r="F926" t="s">
        <v>11</v>
      </c>
      <c r="G926" t="s">
        <v>31</v>
      </c>
      <c r="H926">
        <v>64</v>
      </c>
      <c r="I926">
        <v>2.09</v>
      </c>
      <c r="J926">
        <v>1.07</v>
      </c>
      <c r="K926" t="s">
        <v>15</v>
      </c>
      <c r="L926">
        <v>67</v>
      </c>
      <c r="M926">
        <v>182</v>
      </c>
      <c r="N926">
        <v>85</v>
      </c>
      <c r="O926">
        <v>55</v>
      </c>
      <c r="P926" t="s">
        <v>44</v>
      </c>
    </row>
    <row r="927" spans="1:16" x14ac:dyDescent="0.25">
      <c r="A927">
        <v>937</v>
      </c>
      <c r="B927" s="2">
        <v>44099.666666666664</v>
      </c>
      <c r="C927" s="2">
        <v>44100.526388888888</v>
      </c>
      <c r="D927">
        <v>4</v>
      </c>
      <c r="E927" t="s">
        <v>4</v>
      </c>
      <c r="F927" t="s">
        <v>10</v>
      </c>
      <c r="G927" t="s">
        <v>31</v>
      </c>
      <c r="H927">
        <v>58</v>
      </c>
      <c r="I927">
        <v>1.43</v>
      </c>
      <c r="J927">
        <v>0.67</v>
      </c>
      <c r="K927" t="s">
        <v>15</v>
      </c>
      <c r="L927">
        <v>71</v>
      </c>
      <c r="M927">
        <v>170</v>
      </c>
      <c r="N927">
        <v>76</v>
      </c>
      <c r="O927">
        <v>47</v>
      </c>
      <c r="P927" t="s">
        <v>46</v>
      </c>
    </row>
    <row r="928" spans="1:16" x14ac:dyDescent="0.25">
      <c r="A928">
        <v>938</v>
      </c>
      <c r="B928" s="2">
        <v>44099.570833333331</v>
      </c>
      <c r="C928" s="2">
        <v>44100.569444444445</v>
      </c>
      <c r="D928">
        <v>5</v>
      </c>
      <c r="E928" t="s">
        <v>4</v>
      </c>
      <c r="F928" t="s">
        <v>3</v>
      </c>
      <c r="G928" t="s">
        <v>35</v>
      </c>
      <c r="H928">
        <v>80</v>
      </c>
      <c r="I928">
        <v>8.61</v>
      </c>
      <c r="J928">
        <v>1.34</v>
      </c>
      <c r="K928" t="s">
        <v>15</v>
      </c>
      <c r="L928">
        <v>75</v>
      </c>
      <c r="M928">
        <v>159</v>
      </c>
      <c r="N928">
        <v>65</v>
      </c>
      <c r="O928">
        <v>20</v>
      </c>
      <c r="P928" t="s">
        <v>47</v>
      </c>
    </row>
    <row r="929" spans="1:16" x14ac:dyDescent="0.25">
      <c r="A929">
        <v>939</v>
      </c>
      <c r="B929" s="2">
        <v>44099.731249999997</v>
      </c>
      <c r="C929" s="2">
        <v>44100.770833333336</v>
      </c>
      <c r="D929">
        <v>2</v>
      </c>
      <c r="E929" t="s">
        <v>2</v>
      </c>
      <c r="F929" t="s">
        <v>3</v>
      </c>
      <c r="G929" t="s">
        <v>35</v>
      </c>
      <c r="H929">
        <v>25</v>
      </c>
      <c r="I929">
        <v>8.57</v>
      </c>
      <c r="J929">
        <v>3.21</v>
      </c>
      <c r="K929" t="s">
        <v>15</v>
      </c>
      <c r="L929">
        <v>70</v>
      </c>
      <c r="M929">
        <v>173</v>
      </c>
      <c r="N929">
        <v>64</v>
      </c>
      <c r="O929">
        <v>44</v>
      </c>
      <c r="P929" t="s">
        <v>46</v>
      </c>
    </row>
    <row r="930" spans="1:16" x14ac:dyDescent="0.25">
      <c r="A930">
        <v>940</v>
      </c>
      <c r="B930" s="2">
        <v>44101.65347222222</v>
      </c>
      <c r="C930" s="2">
        <v>44102.336805555555</v>
      </c>
      <c r="D930">
        <v>5</v>
      </c>
      <c r="E930" t="s">
        <v>4</v>
      </c>
      <c r="F930" t="s">
        <v>11</v>
      </c>
      <c r="G930" t="s">
        <v>29</v>
      </c>
      <c r="H930">
        <v>73</v>
      </c>
      <c r="I930">
        <v>9.43</v>
      </c>
      <c r="J930">
        <v>4.8899999999999997</v>
      </c>
      <c r="K930" t="s">
        <v>15</v>
      </c>
      <c r="L930">
        <v>146</v>
      </c>
      <c r="M930">
        <v>163</v>
      </c>
      <c r="N930">
        <v>67</v>
      </c>
      <c r="O930">
        <v>65</v>
      </c>
      <c r="P930" t="s">
        <v>44</v>
      </c>
    </row>
    <row r="931" spans="1:16" x14ac:dyDescent="0.25">
      <c r="A931">
        <v>941</v>
      </c>
      <c r="B931" s="2">
        <v>44101.666666666664</v>
      </c>
      <c r="C931" s="2">
        <v>44102.338194444441</v>
      </c>
      <c r="D931">
        <v>6</v>
      </c>
      <c r="E931" t="s">
        <v>4</v>
      </c>
      <c r="F931" t="s">
        <v>1</v>
      </c>
      <c r="G931" t="s">
        <v>23</v>
      </c>
      <c r="H931">
        <v>69</v>
      </c>
      <c r="I931">
        <v>2.35</v>
      </c>
      <c r="J931">
        <v>1.45</v>
      </c>
      <c r="K931" t="s">
        <v>15</v>
      </c>
      <c r="L931">
        <v>147</v>
      </c>
      <c r="M931">
        <v>172</v>
      </c>
      <c r="N931">
        <v>91</v>
      </c>
      <c r="O931">
        <v>60</v>
      </c>
      <c r="P931" t="s">
        <v>44</v>
      </c>
    </row>
    <row r="932" spans="1:16" x14ac:dyDescent="0.25">
      <c r="A932">
        <v>942</v>
      </c>
      <c r="B932" s="2">
        <v>44101.666666666664</v>
      </c>
      <c r="C932" s="2">
        <v>44102.340277777781</v>
      </c>
      <c r="D932">
        <v>4</v>
      </c>
      <c r="E932" t="s">
        <v>4</v>
      </c>
      <c r="F932" t="s">
        <v>3</v>
      </c>
      <c r="G932" t="s">
        <v>33</v>
      </c>
      <c r="H932">
        <v>42</v>
      </c>
      <c r="I932">
        <v>2.27</v>
      </c>
      <c r="J932">
        <v>0.76</v>
      </c>
      <c r="K932" t="s">
        <v>15</v>
      </c>
      <c r="L932">
        <v>113</v>
      </c>
      <c r="M932">
        <v>177</v>
      </c>
      <c r="N932">
        <v>83</v>
      </c>
      <c r="O932">
        <v>40</v>
      </c>
      <c r="P932" t="s">
        <v>46</v>
      </c>
    </row>
    <row r="933" spans="1:16" x14ac:dyDescent="0.25">
      <c r="A933">
        <v>943</v>
      </c>
      <c r="B933" s="2">
        <v>44101.666666666664</v>
      </c>
      <c r="C933" s="2">
        <v>44102.345833333333</v>
      </c>
      <c r="D933">
        <v>2</v>
      </c>
      <c r="E933" t="s">
        <v>4</v>
      </c>
      <c r="F933" t="s">
        <v>3</v>
      </c>
      <c r="G933" t="s">
        <v>35</v>
      </c>
      <c r="H933">
        <v>70</v>
      </c>
      <c r="I933">
        <v>3.08</v>
      </c>
      <c r="J933">
        <v>0.74</v>
      </c>
      <c r="K933" t="s">
        <v>15</v>
      </c>
      <c r="L933">
        <v>86</v>
      </c>
      <c r="M933">
        <v>161</v>
      </c>
      <c r="N933">
        <v>61</v>
      </c>
      <c r="O933">
        <v>41</v>
      </c>
      <c r="P933" t="s">
        <v>46</v>
      </c>
    </row>
    <row r="934" spans="1:16" x14ac:dyDescent="0.25">
      <c r="A934">
        <v>944</v>
      </c>
      <c r="B934" s="2">
        <v>44097.583333333336</v>
      </c>
      <c r="C934" s="2">
        <v>44102.5</v>
      </c>
      <c r="D934">
        <v>4</v>
      </c>
      <c r="E934" t="s">
        <v>6</v>
      </c>
      <c r="F934" t="s">
        <v>11</v>
      </c>
      <c r="G934" t="s">
        <v>33</v>
      </c>
      <c r="H934">
        <v>73</v>
      </c>
      <c r="I934">
        <v>3.74</v>
      </c>
      <c r="J934">
        <v>1.89</v>
      </c>
      <c r="K934" t="s">
        <v>15</v>
      </c>
      <c r="L934">
        <v>107</v>
      </c>
      <c r="M934">
        <v>174</v>
      </c>
      <c r="N934">
        <v>92</v>
      </c>
      <c r="O934">
        <v>45</v>
      </c>
      <c r="P934" t="s">
        <v>46</v>
      </c>
    </row>
    <row r="935" spans="1:16" x14ac:dyDescent="0.25">
      <c r="A935">
        <v>945</v>
      </c>
      <c r="B935" s="2">
        <v>44101.665277777778</v>
      </c>
      <c r="C935" s="2">
        <v>44102.524305555555</v>
      </c>
      <c r="D935">
        <v>3</v>
      </c>
      <c r="E935" t="s">
        <v>4</v>
      </c>
      <c r="F935" t="s">
        <v>10</v>
      </c>
      <c r="G935" t="s">
        <v>30</v>
      </c>
      <c r="H935">
        <v>49</v>
      </c>
      <c r="I935">
        <v>0.88</v>
      </c>
      <c r="J935">
        <v>0.55000000000000004</v>
      </c>
      <c r="K935" t="s">
        <v>15</v>
      </c>
      <c r="L935">
        <v>63</v>
      </c>
      <c r="M935">
        <v>168</v>
      </c>
      <c r="N935">
        <v>101</v>
      </c>
      <c r="O935">
        <v>54</v>
      </c>
      <c r="P935" t="s">
        <v>44</v>
      </c>
    </row>
    <row r="936" spans="1:16" x14ac:dyDescent="0.25">
      <c r="A936">
        <v>946</v>
      </c>
      <c r="B936" s="2">
        <v>44102.291666666664</v>
      </c>
      <c r="C936" s="2">
        <v>44102.572916666664</v>
      </c>
      <c r="D936">
        <v>2</v>
      </c>
      <c r="E936" t="s">
        <v>4</v>
      </c>
      <c r="F936" t="s">
        <v>3</v>
      </c>
      <c r="G936" t="s">
        <v>35</v>
      </c>
      <c r="H936">
        <v>77</v>
      </c>
      <c r="I936">
        <v>7.16</v>
      </c>
      <c r="J936">
        <v>3.81</v>
      </c>
      <c r="K936" t="s">
        <v>15</v>
      </c>
      <c r="L936">
        <v>83</v>
      </c>
      <c r="M936">
        <v>157</v>
      </c>
      <c r="N936">
        <v>91</v>
      </c>
      <c r="O936">
        <v>40</v>
      </c>
      <c r="P936" t="s">
        <v>46</v>
      </c>
    </row>
    <row r="937" spans="1:16" x14ac:dyDescent="0.25">
      <c r="A937">
        <v>947</v>
      </c>
      <c r="B937" s="2">
        <v>44102.291666666664</v>
      </c>
      <c r="C937" s="2">
        <v>44102.574999999997</v>
      </c>
      <c r="D937">
        <v>6</v>
      </c>
      <c r="E937" t="s">
        <v>4</v>
      </c>
      <c r="F937" t="s">
        <v>10</v>
      </c>
      <c r="G937" t="s">
        <v>23</v>
      </c>
      <c r="H937">
        <v>75</v>
      </c>
      <c r="I937">
        <v>2.52</v>
      </c>
      <c r="J937">
        <v>0.85</v>
      </c>
      <c r="K937" t="s">
        <v>15</v>
      </c>
      <c r="L937">
        <v>64</v>
      </c>
      <c r="M937">
        <v>158</v>
      </c>
      <c r="N937">
        <v>68</v>
      </c>
      <c r="O937">
        <v>45</v>
      </c>
      <c r="P937" t="s">
        <v>46</v>
      </c>
    </row>
    <row r="938" spans="1:16" x14ac:dyDescent="0.25">
      <c r="A938">
        <v>948</v>
      </c>
      <c r="B938" s="2">
        <v>44093.416666666664</v>
      </c>
      <c r="C938" s="2">
        <v>44102.574999999997</v>
      </c>
      <c r="D938">
        <v>5</v>
      </c>
      <c r="E938" t="s">
        <v>6</v>
      </c>
      <c r="F938" t="s">
        <v>10</v>
      </c>
      <c r="G938" t="s">
        <v>29</v>
      </c>
      <c r="H938">
        <v>66</v>
      </c>
      <c r="I938">
        <v>4.5</v>
      </c>
      <c r="J938">
        <v>2.52</v>
      </c>
      <c r="K938" t="s">
        <v>15</v>
      </c>
      <c r="L938">
        <v>112</v>
      </c>
      <c r="M938">
        <v>174</v>
      </c>
      <c r="N938">
        <v>88</v>
      </c>
      <c r="O938">
        <v>45</v>
      </c>
      <c r="P938" t="s">
        <v>46</v>
      </c>
    </row>
    <row r="939" spans="1:16" x14ac:dyDescent="0.25">
      <c r="A939">
        <v>949</v>
      </c>
      <c r="B939" s="2">
        <v>44102.666666666664</v>
      </c>
      <c r="C939" s="2">
        <v>44103.333333333336</v>
      </c>
      <c r="D939">
        <v>5</v>
      </c>
      <c r="E939" t="s">
        <v>4</v>
      </c>
      <c r="F939" t="s">
        <v>1</v>
      </c>
      <c r="G939" t="s">
        <v>23</v>
      </c>
      <c r="H939">
        <v>63</v>
      </c>
      <c r="I939">
        <v>3.33</v>
      </c>
      <c r="J939">
        <v>1.21</v>
      </c>
      <c r="K939" t="s">
        <v>15</v>
      </c>
      <c r="L939">
        <v>69</v>
      </c>
      <c r="M939">
        <v>193</v>
      </c>
      <c r="N939">
        <v>115</v>
      </c>
      <c r="O939">
        <v>35</v>
      </c>
      <c r="P939" t="s">
        <v>46</v>
      </c>
    </row>
    <row r="940" spans="1:16" x14ac:dyDescent="0.25">
      <c r="A940">
        <v>950</v>
      </c>
      <c r="B940" s="2">
        <v>44098.708333333336</v>
      </c>
      <c r="C940" s="2">
        <v>44103.34375</v>
      </c>
      <c r="D940">
        <v>2</v>
      </c>
      <c r="E940" t="s">
        <v>6</v>
      </c>
      <c r="F940" t="s">
        <v>10</v>
      </c>
      <c r="G940" t="s">
        <v>28</v>
      </c>
      <c r="H940">
        <v>76</v>
      </c>
      <c r="I940">
        <v>10.75</v>
      </c>
      <c r="J940">
        <v>5.16</v>
      </c>
      <c r="K940" t="s">
        <v>15</v>
      </c>
      <c r="L940">
        <v>114</v>
      </c>
      <c r="M940">
        <v>159</v>
      </c>
      <c r="N940">
        <v>62</v>
      </c>
      <c r="O940">
        <v>57</v>
      </c>
      <c r="P940" t="s">
        <v>44</v>
      </c>
    </row>
    <row r="941" spans="1:16" x14ac:dyDescent="0.25">
      <c r="A941">
        <v>951</v>
      </c>
      <c r="B941" s="2">
        <v>44096.294444444444</v>
      </c>
      <c r="C941" s="2">
        <v>44103.361111111109</v>
      </c>
      <c r="D941">
        <v>6</v>
      </c>
      <c r="E941" t="s">
        <v>4</v>
      </c>
      <c r="F941" t="s">
        <v>10</v>
      </c>
      <c r="G941" t="s">
        <v>29</v>
      </c>
      <c r="H941">
        <v>72</v>
      </c>
      <c r="I941">
        <v>5</v>
      </c>
      <c r="J941">
        <v>1.74</v>
      </c>
      <c r="K941" t="s">
        <v>15</v>
      </c>
      <c r="L941">
        <v>63</v>
      </c>
      <c r="M941">
        <v>175</v>
      </c>
      <c r="N941">
        <v>82</v>
      </c>
      <c r="O941">
        <v>55</v>
      </c>
      <c r="P941" t="s">
        <v>44</v>
      </c>
    </row>
    <row r="942" spans="1:16" x14ac:dyDescent="0.25">
      <c r="A942">
        <v>952</v>
      </c>
      <c r="B942" s="2">
        <v>44102.652777777781</v>
      </c>
      <c r="C942" s="2">
        <v>44103.541666666664</v>
      </c>
      <c r="D942">
        <v>2</v>
      </c>
      <c r="E942" t="s">
        <v>4</v>
      </c>
      <c r="F942" t="s">
        <v>11</v>
      </c>
      <c r="G942" t="s">
        <v>28</v>
      </c>
      <c r="H942">
        <v>75</v>
      </c>
      <c r="I942">
        <v>4.25</v>
      </c>
      <c r="J942">
        <v>5.03</v>
      </c>
      <c r="K942" t="s">
        <v>15</v>
      </c>
      <c r="L942">
        <v>110</v>
      </c>
      <c r="M942">
        <v>173</v>
      </c>
      <c r="N942">
        <v>87</v>
      </c>
      <c r="O942">
        <v>55</v>
      </c>
      <c r="P942" t="s">
        <v>44</v>
      </c>
    </row>
    <row r="943" spans="1:16" x14ac:dyDescent="0.25">
      <c r="A943">
        <v>953</v>
      </c>
      <c r="B943" s="2">
        <v>44103.287499999999</v>
      </c>
      <c r="C943" s="2">
        <v>44103.552083333336</v>
      </c>
      <c r="D943">
        <v>5</v>
      </c>
      <c r="E943" t="s">
        <v>4</v>
      </c>
      <c r="F943" t="s">
        <v>1</v>
      </c>
      <c r="G943" t="s">
        <v>23</v>
      </c>
      <c r="H943">
        <v>70</v>
      </c>
      <c r="I943">
        <v>18.78</v>
      </c>
      <c r="J943">
        <v>5.74</v>
      </c>
      <c r="K943" t="s">
        <v>15</v>
      </c>
      <c r="L943">
        <v>118</v>
      </c>
      <c r="M943">
        <v>175</v>
      </c>
      <c r="N943">
        <v>63</v>
      </c>
      <c r="O943">
        <v>55</v>
      </c>
      <c r="P943" t="s">
        <v>44</v>
      </c>
    </row>
    <row r="944" spans="1:16" x14ac:dyDescent="0.25">
      <c r="A944">
        <v>954</v>
      </c>
      <c r="B944" s="2">
        <v>44103.665972222225</v>
      </c>
      <c r="C944" s="2">
        <v>44104.329861111109</v>
      </c>
      <c r="D944">
        <v>6</v>
      </c>
      <c r="E944" t="s">
        <v>4</v>
      </c>
      <c r="F944" t="s">
        <v>3</v>
      </c>
      <c r="G944" t="s">
        <v>21</v>
      </c>
      <c r="H944">
        <v>75</v>
      </c>
      <c r="I944">
        <v>4.25</v>
      </c>
      <c r="J944">
        <v>1.0900000000000001</v>
      </c>
      <c r="K944" t="s">
        <v>15</v>
      </c>
      <c r="L944">
        <v>80</v>
      </c>
      <c r="M944">
        <v>172</v>
      </c>
      <c r="N944">
        <v>90</v>
      </c>
      <c r="O944">
        <v>29</v>
      </c>
      <c r="P944" t="s">
        <v>45</v>
      </c>
    </row>
    <row r="945" spans="1:16" x14ac:dyDescent="0.25">
      <c r="A945">
        <v>955</v>
      </c>
      <c r="B945" s="2">
        <v>44103.661111111112</v>
      </c>
      <c r="C945" s="2">
        <v>44104.34375</v>
      </c>
      <c r="D945">
        <v>4</v>
      </c>
      <c r="E945" t="s">
        <v>4</v>
      </c>
      <c r="F945" t="s">
        <v>1</v>
      </c>
      <c r="G945" t="s">
        <v>24</v>
      </c>
      <c r="H945">
        <v>64</v>
      </c>
      <c r="I945">
        <v>6.37</v>
      </c>
      <c r="J945">
        <v>2.04</v>
      </c>
      <c r="K945" t="s">
        <v>15</v>
      </c>
      <c r="L945">
        <v>65</v>
      </c>
      <c r="M945">
        <v>159</v>
      </c>
      <c r="N945">
        <v>65</v>
      </c>
      <c r="O945">
        <v>62</v>
      </c>
      <c r="P945" t="s">
        <v>44</v>
      </c>
    </row>
    <row r="946" spans="1:16" x14ac:dyDescent="0.25">
      <c r="A946">
        <v>956</v>
      </c>
      <c r="B946" s="2">
        <v>44102.647916666669</v>
      </c>
      <c r="C946" s="2">
        <v>44104.34652777778</v>
      </c>
      <c r="D946">
        <v>5</v>
      </c>
      <c r="E946" t="s">
        <v>6</v>
      </c>
      <c r="F946" t="s">
        <v>11</v>
      </c>
      <c r="G946" t="s">
        <v>31</v>
      </c>
      <c r="H946">
        <v>82</v>
      </c>
      <c r="I946">
        <v>20.54</v>
      </c>
      <c r="J946">
        <v>7.5</v>
      </c>
      <c r="K946" t="s">
        <v>15</v>
      </c>
      <c r="L946">
        <v>79</v>
      </c>
      <c r="M946">
        <v>160</v>
      </c>
      <c r="N946">
        <v>70</v>
      </c>
      <c r="O946">
        <v>46</v>
      </c>
      <c r="P946" t="s">
        <v>46</v>
      </c>
    </row>
    <row r="947" spans="1:16" x14ac:dyDescent="0.25">
      <c r="A947">
        <v>957</v>
      </c>
      <c r="B947" s="2">
        <v>44103.665277777778</v>
      </c>
      <c r="C947" s="2">
        <v>44104.493750000001</v>
      </c>
      <c r="D947">
        <v>2</v>
      </c>
      <c r="E947" t="s">
        <v>4</v>
      </c>
      <c r="F947" t="s">
        <v>3</v>
      </c>
      <c r="G947" t="s">
        <v>28</v>
      </c>
      <c r="H947">
        <v>62</v>
      </c>
      <c r="I947">
        <v>3.87</v>
      </c>
      <c r="J947">
        <v>1.18</v>
      </c>
      <c r="K947" t="s">
        <v>15</v>
      </c>
      <c r="L947">
        <v>81</v>
      </c>
      <c r="M947">
        <v>180</v>
      </c>
      <c r="N947">
        <v>85</v>
      </c>
      <c r="O947">
        <v>57</v>
      </c>
      <c r="P947" t="s">
        <v>44</v>
      </c>
    </row>
    <row r="948" spans="1:16" x14ac:dyDescent="0.25">
      <c r="A948">
        <v>958</v>
      </c>
      <c r="B948" s="2">
        <v>44104.291666666664</v>
      </c>
      <c r="C948" s="2">
        <v>44104.545138888891</v>
      </c>
      <c r="D948">
        <v>5</v>
      </c>
      <c r="E948" t="s">
        <v>4</v>
      </c>
      <c r="F948" t="s">
        <v>11</v>
      </c>
      <c r="G948" t="s">
        <v>31</v>
      </c>
      <c r="H948">
        <v>74</v>
      </c>
      <c r="I948">
        <v>3.99</v>
      </c>
      <c r="J948">
        <v>1.92</v>
      </c>
      <c r="K948" t="s">
        <v>15</v>
      </c>
      <c r="L948">
        <v>77</v>
      </c>
      <c r="M948">
        <v>186</v>
      </c>
      <c r="N948">
        <v>107</v>
      </c>
      <c r="O948">
        <v>45</v>
      </c>
      <c r="P948" t="s">
        <v>46</v>
      </c>
    </row>
    <row r="949" spans="1:16" x14ac:dyDescent="0.25">
      <c r="A949">
        <v>959</v>
      </c>
      <c r="B949" s="2">
        <v>44104.655555555553</v>
      </c>
      <c r="C949" s="2">
        <v>44105.333333333336</v>
      </c>
      <c r="D949">
        <v>6</v>
      </c>
      <c r="E949" t="s">
        <v>4</v>
      </c>
      <c r="F949" t="s">
        <v>1</v>
      </c>
      <c r="G949" t="s">
        <v>23</v>
      </c>
      <c r="H949">
        <v>54</v>
      </c>
      <c r="I949">
        <v>4.6500000000000004</v>
      </c>
      <c r="J949">
        <v>1.64</v>
      </c>
      <c r="K949" t="s">
        <v>15</v>
      </c>
      <c r="L949">
        <v>101</v>
      </c>
      <c r="M949">
        <v>163</v>
      </c>
      <c r="N949">
        <v>77</v>
      </c>
      <c r="O949">
        <v>51</v>
      </c>
      <c r="P949" t="s">
        <v>44</v>
      </c>
    </row>
    <row r="950" spans="1:16" x14ac:dyDescent="0.25">
      <c r="A950">
        <v>960</v>
      </c>
      <c r="B950" s="2">
        <v>44103.715277777781</v>
      </c>
      <c r="C950" s="2">
        <v>44105.342361111114</v>
      </c>
      <c r="D950">
        <v>4</v>
      </c>
      <c r="E950" t="s">
        <v>6</v>
      </c>
      <c r="F950" t="s">
        <v>11</v>
      </c>
      <c r="G950" t="s">
        <v>24</v>
      </c>
      <c r="H950">
        <v>56</v>
      </c>
      <c r="I950">
        <v>2.27</v>
      </c>
      <c r="J950">
        <v>2.16</v>
      </c>
      <c r="K950" t="s">
        <v>15</v>
      </c>
      <c r="L950">
        <v>76</v>
      </c>
      <c r="M950">
        <v>187</v>
      </c>
      <c r="N950">
        <v>112</v>
      </c>
      <c r="O950">
        <v>28</v>
      </c>
      <c r="P950" t="s">
        <v>45</v>
      </c>
    </row>
    <row r="951" spans="1:16" x14ac:dyDescent="0.25">
      <c r="A951">
        <v>961</v>
      </c>
      <c r="B951" s="2">
        <v>44104.680555555555</v>
      </c>
      <c r="C951" s="2">
        <v>44105.345833333333</v>
      </c>
      <c r="D951">
        <v>2</v>
      </c>
      <c r="E951" t="s">
        <v>4</v>
      </c>
      <c r="F951" t="s">
        <v>3</v>
      </c>
      <c r="G951" t="s">
        <v>31</v>
      </c>
      <c r="H951">
        <v>83</v>
      </c>
      <c r="I951">
        <v>7.03</v>
      </c>
      <c r="J951">
        <v>1.44</v>
      </c>
      <c r="K951" t="s">
        <v>15</v>
      </c>
      <c r="L951">
        <v>87</v>
      </c>
      <c r="M951">
        <v>168</v>
      </c>
      <c r="N951">
        <v>73</v>
      </c>
      <c r="O951">
        <v>50</v>
      </c>
      <c r="P951" t="s">
        <v>46</v>
      </c>
    </row>
    <row r="952" spans="1:16" x14ac:dyDescent="0.25">
      <c r="A952">
        <v>962</v>
      </c>
      <c r="B952" s="2">
        <v>44098.46597222222</v>
      </c>
      <c r="C952" s="2">
        <v>44105.345833333333</v>
      </c>
      <c r="D952">
        <v>5</v>
      </c>
      <c r="E952" t="s">
        <v>6</v>
      </c>
      <c r="F952" t="s">
        <v>10</v>
      </c>
      <c r="G952" t="s">
        <v>21</v>
      </c>
      <c r="H952">
        <v>76</v>
      </c>
      <c r="I952">
        <v>9.16</v>
      </c>
      <c r="J952">
        <v>5.41</v>
      </c>
      <c r="K952" t="s">
        <v>15</v>
      </c>
      <c r="L952">
        <v>80</v>
      </c>
      <c r="M952">
        <v>172</v>
      </c>
      <c r="N952">
        <v>73</v>
      </c>
      <c r="O952">
        <v>19</v>
      </c>
      <c r="P952" t="s">
        <v>47</v>
      </c>
    </row>
    <row r="953" spans="1:16" x14ac:dyDescent="0.25">
      <c r="A953">
        <v>963</v>
      </c>
      <c r="B953" s="2">
        <v>44104.678472222222</v>
      </c>
      <c r="C953" s="2">
        <v>44105.394444444442</v>
      </c>
      <c r="D953">
        <v>3</v>
      </c>
      <c r="E953" t="s">
        <v>4</v>
      </c>
      <c r="F953" t="s">
        <v>3</v>
      </c>
      <c r="G953" t="s">
        <v>33</v>
      </c>
      <c r="H953">
        <v>64</v>
      </c>
      <c r="I953">
        <v>2.09</v>
      </c>
      <c r="J953">
        <v>0.98</v>
      </c>
      <c r="K953" t="s">
        <v>15</v>
      </c>
      <c r="L953">
        <v>63</v>
      </c>
      <c r="M953">
        <v>160</v>
      </c>
      <c r="N953">
        <v>65</v>
      </c>
      <c r="O953">
        <v>25</v>
      </c>
      <c r="P953" t="s">
        <v>45</v>
      </c>
    </row>
    <row r="954" spans="1:16" x14ac:dyDescent="0.25">
      <c r="A954">
        <v>964</v>
      </c>
      <c r="B954" s="2">
        <v>44105.300694444442</v>
      </c>
      <c r="C954" s="2">
        <v>44105.54791666667</v>
      </c>
      <c r="D954">
        <v>3</v>
      </c>
      <c r="E954" t="s">
        <v>4</v>
      </c>
      <c r="F954" t="s">
        <v>3</v>
      </c>
      <c r="G954" t="s">
        <v>33</v>
      </c>
      <c r="H954">
        <v>73</v>
      </c>
      <c r="I954">
        <v>5.13</v>
      </c>
      <c r="J954">
        <v>1.35</v>
      </c>
      <c r="K954" t="s">
        <v>15</v>
      </c>
      <c r="L954">
        <v>103</v>
      </c>
      <c r="M954">
        <v>174</v>
      </c>
      <c r="N954">
        <v>72</v>
      </c>
      <c r="O954">
        <v>31</v>
      </c>
      <c r="P954" t="s">
        <v>46</v>
      </c>
    </row>
    <row r="955" spans="1:16" x14ac:dyDescent="0.25">
      <c r="A955">
        <v>965</v>
      </c>
      <c r="B955" s="2">
        <v>44105.291666666664</v>
      </c>
      <c r="C955" s="2">
        <v>44105.548611111109</v>
      </c>
      <c r="D955">
        <v>6</v>
      </c>
      <c r="E955" t="s">
        <v>4</v>
      </c>
      <c r="F955" t="s">
        <v>3</v>
      </c>
      <c r="G955" t="s">
        <v>23</v>
      </c>
      <c r="H955">
        <v>55</v>
      </c>
      <c r="I955">
        <v>2.08</v>
      </c>
      <c r="J955">
        <v>0.62</v>
      </c>
      <c r="K955" t="s">
        <v>15</v>
      </c>
      <c r="L955">
        <v>75</v>
      </c>
      <c r="M955">
        <v>177</v>
      </c>
      <c r="N955">
        <v>108</v>
      </c>
      <c r="O955">
        <v>55</v>
      </c>
      <c r="P955" t="s">
        <v>44</v>
      </c>
    </row>
    <row r="956" spans="1:16" x14ac:dyDescent="0.25">
      <c r="A956">
        <v>966</v>
      </c>
      <c r="B956" s="2">
        <v>44105.291666666664</v>
      </c>
      <c r="C956" s="2">
        <v>44105.615972222222</v>
      </c>
      <c r="D956">
        <v>5</v>
      </c>
      <c r="E956" t="s">
        <v>4</v>
      </c>
      <c r="F956" t="s">
        <v>3</v>
      </c>
      <c r="G956" t="s">
        <v>21</v>
      </c>
      <c r="H956">
        <v>57</v>
      </c>
      <c r="I956">
        <v>1.51</v>
      </c>
      <c r="J956">
        <v>0.56000000000000005</v>
      </c>
      <c r="K956" t="s">
        <v>15</v>
      </c>
      <c r="L956">
        <v>96</v>
      </c>
      <c r="M956">
        <v>163</v>
      </c>
      <c r="N956">
        <v>67</v>
      </c>
      <c r="O956">
        <v>45</v>
      </c>
      <c r="P956" t="s">
        <v>46</v>
      </c>
    </row>
    <row r="957" spans="1:16" x14ac:dyDescent="0.25">
      <c r="A957">
        <v>967</v>
      </c>
      <c r="B957" s="2">
        <v>44105.671527777777</v>
      </c>
      <c r="C957" s="2">
        <v>44106.334722222222</v>
      </c>
      <c r="D957">
        <v>4</v>
      </c>
      <c r="E957" t="s">
        <v>4</v>
      </c>
      <c r="F957" t="s">
        <v>10</v>
      </c>
      <c r="G957" t="s">
        <v>24</v>
      </c>
      <c r="H957">
        <v>79</v>
      </c>
      <c r="I957">
        <v>6.1</v>
      </c>
      <c r="J957">
        <v>3.71</v>
      </c>
      <c r="K957" t="s">
        <v>15</v>
      </c>
      <c r="L957">
        <v>152</v>
      </c>
      <c r="M957">
        <v>162</v>
      </c>
      <c r="N957">
        <v>68</v>
      </c>
      <c r="O957">
        <v>49</v>
      </c>
      <c r="P957" t="s">
        <v>46</v>
      </c>
    </row>
    <row r="958" spans="1:16" x14ac:dyDescent="0.25">
      <c r="A958">
        <v>968</v>
      </c>
      <c r="B958" s="2">
        <v>44104.609027777777</v>
      </c>
      <c r="C958" s="2">
        <v>44106.337500000001</v>
      </c>
      <c r="D958">
        <v>2</v>
      </c>
      <c r="E958" t="s">
        <v>6</v>
      </c>
      <c r="F958" t="s">
        <v>5</v>
      </c>
      <c r="G958" t="s">
        <v>31</v>
      </c>
      <c r="H958">
        <v>61</v>
      </c>
      <c r="I958">
        <v>4.38</v>
      </c>
      <c r="J958">
        <v>3.22</v>
      </c>
      <c r="K958" t="s">
        <v>15</v>
      </c>
      <c r="L958">
        <v>108</v>
      </c>
      <c r="M958">
        <v>173</v>
      </c>
      <c r="N958">
        <v>76</v>
      </c>
      <c r="O958">
        <v>32</v>
      </c>
      <c r="P958" t="s">
        <v>46</v>
      </c>
    </row>
    <row r="959" spans="1:16" x14ac:dyDescent="0.25">
      <c r="A959">
        <v>969</v>
      </c>
      <c r="B959" s="2">
        <v>44105.666666666664</v>
      </c>
      <c r="C959" s="2">
        <v>44106.34652777778</v>
      </c>
      <c r="D959">
        <v>6</v>
      </c>
      <c r="E959" t="s">
        <v>4</v>
      </c>
      <c r="F959" t="s">
        <v>3</v>
      </c>
      <c r="G959" t="s">
        <v>27</v>
      </c>
      <c r="H959">
        <v>51</v>
      </c>
      <c r="I959">
        <v>1.51</v>
      </c>
      <c r="J959">
        <v>0.56000000000000005</v>
      </c>
      <c r="K959" t="s">
        <v>15</v>
      </c>
      <c r="L959">
        <v>69</v>
      </c>
      <c r="M959">
        <v>174</v>
      </c>
      <c r="N959">
        <v>65</v>
      </c>
      <c r="O959">
        <v>60</v>
      </c>
      <c r="P959" t="s">
        <v>44</v>
      </c>
    </row>
    <row r="960" spans="1:16" x14ac:dyDescent="0.25">
      <c r="A960">
        <v>970</v>
      </c>
      <c r="B960" s="2">
        <v>44106.290972222225</v>
      </c>
      <c r="C960" s="2">
        <v>44106.461805555555</v>
      </c>
      <c r="D960">
        <v>5</v>
      </c>
      <c r="E960" t="s">
        <v>4</v>
      </c>
      <c r="F960" t="s">
        <v>1</v>
      </c>
      <c r="G960" t="s">
        <v>21</v>
      </c>
      <c r="H960">
        <v>60</v>
      </c>
      <c r="I960">
        <v>4.95</v>
      </c>
      <c r="J960">
        <v>1.64</v>
      </c>
      <c r="K960" t="s">
        <v>13</v>
      </c>
      <c r="L960">
        <v>84</v>
      </c>
      <c r="M960">
        <v>167</v>
      </c>
      <c r="N960">
        <v>70</v>
      </c>
      <c r="O960">
        <v>16</v>
      </c>
      <c r="P960" t="s">
        <v>47</v>
      </c>
    </row>
    <row r="961" spans="1:16" x14ac:dyDescent="0.25">
      <c r="A961">
        <v>971</v>
      </c>
      <c r="B961" s="2">
        <v>44106.291666666664</v>
      </c>
      <c r="C961" s="2">
        <v>44106.56527777778</v>
      </c>
      <c r="D961">
        <v>2</v>
      </c>
      <c r="E961" t="s">
        <v>4</v>
      </c>
      <c r="F961" t="s">
        <v>10</v>
      </c>
      <c r="G961" t="s">
        <v>31</v>
      </c>
      <c r="H961">
        <v>49</v>
      </c>
      <c r="I961">
        <v>0.88</v>
      </c>
      <c r="J961">
        <v>0.56000000000000005</v>
      </c>
      <c r="K961" t="s">
        <v>15</v>
      </c>
      <c r="L961">
        <v>71</v>
      </c>
      <c r="M961">
        <v>166</v>
      </c>
      <c r="N961">
        <v>77</v>
      </c>
      <c r="O961">
        <v>65</v>
      </c>
      <c r="P961" t="s">
        <v>44</v>
      </c>
    </row>
    <row r="962" spans="1:16" x14ac:dyDescent="0.25">
      <c r="A962">
        <v>972</v>
      </c>
      <c r="B962" s="2">
        <v>44102.734027777777</v>
      </c>
      <c r="C962" s="2">
        <v>44106.621527777781</v>
      </c>
      <c r="D962">
        <v>4</v>
      </c>
      <c r="E962" t="s">
        <v>6</v>
      </c>
      <c r="F962" t="s">
        <v>10</v>
      </c>
      <c r="G962" t="s">
        <v>27</v>
      </c>
      <c r="H962">
        <v>78</v>
      </c>
      <c r="I962">
        <v>7.64</v>
      </c>
      <c r="J962">
        <v>4.2</v>
      </c>
      <c r="K962" t="s">
        <v>15</v>
      </c>
      <c r="L962">
        <v>147</v>
      </c>
      <c r="M962">
        <v>170</v>
      </c>
      <c r="N962">
        <v>74</v>
      </c>
      <c r="O962">
        <v>40</v>
      </c>
      <c r="P962" t="s">
        <v>46</v>
      </c>
    </row>
    <row r="963" spans="1:16" x14ac:dyDescent="0.25">
      <c r="A963">
        <v>973</v>
      </c>
      <c r="B963" s="2">
        <v>44106.657638888886</v>
      </c>
      <c r="C963" s="2">
        <v>44107.327777777777</v>
      </c>
      <c r="D963">
        <v>4</v>
      </c>
      <c r="E963" t="s">
        <v>4</v>
      </c>
      <c r="F963" t="s">
        <v>3</v>
      </c>
      <c r="G963" t="s">
        <v>30</v>
      </c>
      <c r="H963">
        <v>61</v>
      </c>
      <c r="I963">
        <v>4.96</v>
      </c>
      <c r="J963">
        <v>2.93</v>
      </c>
      <c r="K963" t="s">
        <v>15</v>
      </c>
      <c r="L963">
        <v>141</v>
      </c>
      <c r="M963">
        <v>171</v>
      </c>
      <c r="N963">
        <v>95</v>
      </c>
      <c r="O963">
        <v>65</v>
      </c>
      <c r="P963" t="s">
        <v>44</v>
      </c>
    </row>
    <row r="964" spans="1:16" x14ac:dyDescent="0.25">
      <c r="A964">
        <v>974</v>
      </c>
      <c r="B964" s="2">
        <v>44107.288194444445</v>
      </c>
      <c r="C964" s="2">
        <v>44107.456944444442</v>
      </c>
      <c r="D964">
        <v>4</v>
      </c>
      <c r="E964" t="s">
        <v>4</v>
      </c>
      <c r="F964" t="s">
        <v>3</v>
      </c>
      <c r="G964" t="s">
        <v>30</v>
      </c>
      <c r="H964">
        <v>71</v>
      </c>
      <c r="I964">
        <v>3.29</v>
      </c>
      <c r="J964">
        <v>1.03</v>
      </c>
      <c r="K964" t="s">
        <v>15</v>
      </c>
      <c r="L964">
        <v>66</v>
      </c>
      <c r="M964">
        <v>175</v>
      </c>
      <c r="N964">
        <v>85</v>
      </c>
      <c r="O964">
        <v>31</v>
      </c>
      <c r="P964" t="s">
        <v>46</v>
      </c>
    </row>
    <row r="965" spans="1:16" x14ac:dyDescent="0.25">
      <c r="A965">
        <v>975</v>
      </c>
      <c r="B965" s="2">
        <v>44107.416666666664</v>
      </c>
      <c r="C965" s="2">
        <v>44109.336805555555</v>
      </c>
      <c r="D965">
        <v>5</v>
      </c>
      <c r="E965" t="s">
        <v>6</v>
      </c>
      <c r="F965" t="s">
        <v>10</v>
      </c>
      <c r="G965" t="s">
        <v>31</v>
      </c>
      <c r="H965">
        <v>75</v>
      </c>
      <c r="I965">
        <v>13.16</v>
      </c>
      <c r="J965">
        <v>3.43</v>
      </c>
      <c r="K965" t="s">
        <v>15</v>
      </c>
      <c r="L965">
        <v>67</v>
      </c>
      <c r="M965">
        <v>160</v>
      </c>
      <c r="N965">
        <v>60</v>
      </c>
      <c r="O965">
        <v>54</v>
      </c>
      <c r="P965" t="s">
        <v>44</v>
      </c>
    </row>
    <row r="966" spans="1:16" x14ac:dyDescent="0.25">
      <c r="A966">
        <v>976</v>
      </c>
      <c r="B966" s="2">
        <v>44108.666666666664</v>
      </c>
      <c r="C966" s="2">
        <v>44109.336805555555</v>
      </c>
      <c r="D966">
        <v>2</v>
      </c>
      <c r="E966" t="s">
        <v>4</v>
      </c>
      <c r="F966" t="s">
        <v>3</v>
      </c>
      <c r="G966" t="s">
        <v>33</v>
      </c>
      <c r="H966">
        <v>70</v>
      </c>
      <c r="I966">
        <v>8.5299999999999994</v>
      </c>
      <c r="J966">
        <v>5.26</v>
      </c>
      <c r="K966" t="s">
        <v>15</v>
      </c>
      <c r="L966">
        <v>111</v>
      </c>
      <c r="M966">
        <v>177</v>
      </c>
      <c r="N966">
        <v>91</v>
      </c>
      <c r="O966">
        <v>55</v>
      </c>
      <c r="P966" t="s">
        <v>44</v>
      </c>
    </row>
    <row r="967" spans="1:16" x14ac:dyDescent="0.25">
      <c r="A967">
        <v>977</v>
      </c>
      <c r="B967" s="2">
        <v>44108.640972222223</v>
      </c>
      <c r="C967" s="2">
        <v>44109.342361111114</v>
      </c>
      <c r="D967">
        <v>4</v>
      </c>
      <c r="E967" t="s">
        <v>4</v>
      </c>
      <c r="F967" t="s">
        <v>3</v>
      </c>
      <c r="G967" t="s">
        <v>35</v>
      </c>
      <c r="H967">
        <v>83</v>
      </c>
      <c r="I967">
        <v>9.52</v>
      </c>
      <c r="J967">
        <v>4.13</v>
      </c>
      <c r="K967" t="s">
        <v>15</v>
      </c>
      <c r="L967">
        <v>74</v>
      </c>
      <c r="M967">
        <v>147</v>
      </c>
      <c r="N967">
        <v>57</v>
      </c>
      <c r="O967">
        <v>35</v>
      </c>
      <c r="P967" t="s">
        <v>46</v>
      </c>
    </row>
    <row r="968" spans="1:16" x14ac:dyDescent="0.25">
      <c r="A968">
        <v>978</v>
      </c>
      <c r="B968" s="2">
        <v>44109.302083333336</v>
      </c>
      <c r="C968" s="2">
        <v>44109.53125</v>
      </c>
      <c r="D968">
        <v>5</v>
      </c>
      <c r="E968" t="s">
        <v>4</v>
      </c>
      <c r="F968" t="s">
        <v>11</v>
      </c>
      <c r="G968" t="s">
        <v>31</v>
      </c>
      <c r="H968">
        <v>73</v>
      </c>
      <c r="I968">
        <v>3.74</v>
      </c>
      <c r="J968">
        <v>1.38</v>
      </c>
      <c r="K968" t="s">
        <v>15</v>
      </c>
      <c r="L968">
        <v>98</v>
      </c>
      <c r="M968">
        <v>160</v>
      </c>
      <c r="N968">
        <v>71</v>
      </c>
      <c r="O968">
        <v>55</v>
      </c>
      <c r="P968" t="s">
        <v>44</v>
      </c>
    </row>
    <row r="969" spans="1:16" x14ac:dyDescent="0.25">
      <c r="A969">
        <v>979</v>
      </c>
      <c r="B969" s="2">
        <v>44106.290972222225</v>
      </c>
      <c r="C969" s="2">
        <v>44109.553472222222</v>
      </c>
      <c r="D969">
        <v>4</v>
      </c>
      <c r="E969" t="s">
        <v>2</v>
      </c>
      <c r="F969" t="s">
        <v>10</v>
      </c>
      <c r="G969" t="s">
        <v>21</v>
      </c>
      <c r="H969">
        <v>60</v>
      </c>
      <c r="I969">
        <v>28.08</v>
      </c>
      <c r="J969">
        <v>19.059999999999999</v>
      </c>
      <c r="K969" t="s">
        <v>13</v>
      </c>
      <c r="L969">
        <v>71</v>
      </c>
      <c r="M969">
        <v>166</v>
      </c>
      <c r="N969">
        <v>83</v>
      </c>
      <c r="O969">
        <v>53</v>
      </c>
      <c r="P969" t="s">
        <v>44</v>
      </c>
    </row>
    <row r="970" spans="1:16" x14ac:dyDescent="0.25">
      <c r="A970">
        <v>980</v>
      </c>
      <c r="B970" s="2">
        <v>44109.291666666664</v>
      </c>
      <c r="C970" s="2">
        <v>44109.56527777778</v>
      </c>
      <c r="D970">
        <v>2</v>
      </c>
      <c r="E970" t="s">
        <v>4</v>
      </c>
      <c r="F970" t="s">
        <v>10</v>
      </c>
      <c r="G970" t="s">
        <v>33</v>
      </c>
      <c r="H970">
        <v>70</v>
      </c>
      <c r="I970">
        <v>3.44</v>
      </c>
      <c r="J970">
        <v>2.04</v>
      </c>
      <c r="K970" t="s">
        <v>15</v>
      </c>
      <c r="L970">
        <v>75</v>
      </c>
      <c r="M970">
        <v>167</v>
      </c>
      <c r="N970">
        <v>73</v>
      </c>
      <c r="O970">
        <v>42</v>
      </c>
      <c r="P970" t="s">
        <v>46</v>
      </c>
    </row>
    <row r="971" spans="1:16" x14ac:dyDescent="0.25">
      <c r="A971">
        <v>981</v>
      </c>
      <c r="B971" s="2">
        <v>44109.595138888886</v>
      </c>
      <c r="C971" s="2">
        <v>44110.520833333336</v>
      </c>
      <c r="D971">
        <v>1</v>
      </c>
      <c r="E971" t="s">
        <v>4</v>
      </c>
      <c r="F971" t="s">
        <v>3</v>
      </c>
      <c r="G971" t="s">
        <v>28</v>
      </c>
      <c r="H971">
        <v>42</v>
      </c>
      <c r="I971">
        <v>1.51</v>
      </c>
      <c r="J971">
        <v>0.68</v>
      </c>
      <c r="K971" t="s">
        <v>15</v>
      </c>
      <c r="L971">
        <v>105</v>
      </c>
      <c r="M971">
        <v>170</v>
      </c>
      <c r="N971">
        <v>102</v>
      </c>
      <c r="O971">
        <v>32</v>
      </c>
      <c r="P971" t="s">
        <v>46</v>
      </c>
    </row>
    <row r="972" spans="1:16" x14ac:dyDescent="0.25">
      <c r="A972">
        <v>982</v>
      </c>
      <c r="B972" s="2">
        <v>44110.29791666667</v>
      </c>
      <c r="C972" s="2">
        <v>44110.527777777781</v>
      </c>
      <c r="D972">
        <v>5</v>
      </c>
      <c r="E972" t="s">
        <v>4</v>
      </c>
      <c r="F972" t="s">
        <v>10</v>
      </c>
      <c r="G972" t="s">
        <v>23</v>
      </c>
      <c r="H972">
        <v>64</v>
      </c>
      <c r="I972">
        <v>1.85</v>
      </c>
      <c r="J972">
        <v>0.85</v>
      </c>
      <c r="K972" t="s">
        <v>15</v>
      </c>
      <c r="L972">
        <v>162</v>
      </c>
      <c r="M972">
        <v>178</v>
      </c>
      <c r="N972">
        <v>91</v>
      </c>
      <c r="O972">
        <v>42</v>
      </c>
      <c r="P972" t="s">
        <v>46</v>
      </c>
    </row>
    <row r="973" spans="1:16" x14ac:dyDescent="0.25">
      <c r="A973">
        <v>983</v>
      </c>
      <c r="B973" s="2">
        <v>44110.293749999997</v>
      </c>
      <c r="C973" s="2">
        <v>44110.538194444445</v>
      </c>
      <c r="D973">
        <v>3</v>
      </c>
      <c r="E973" t="s">
        <v>4</v>
      </c>
      <c r="F973" t="s">
        <v>3</v>
      </c>
      <c r="G973" t="s">
        <v>34</v>
      </c>
      <c r="H973">
        <v>73</v>
      </c>
      <c r="I973">
        <v>3.74</v>
      </c>
      <c r="J973">
        <v>1.0900000000000001</v>
      </c>
      <c r="K973" t="s">
        <v>15</v>
      </c>
      <c r="L973">
        <v>80</v>
      </c>
      <c r="M973">
        <v>160</v>
      </c>
      <c r="N973">
        <v>98</v>
      </c>
      <c r="O973">
        <v>29</v>
      </c>
      <c r="P973" t="s">
        <v>45</v>
      </c>
    </row>
    <row r="974" spans="1:16" x14ac:dyDescent="0.25">
      <c r="A974">
        <v>984</v>
      </c>
      <c r="B974" s="2">
        <v>44110.29791666667</v>
      </c>
      <c r="C974" s="2">
        <v>44110.54791666667</v>
      </c>
      <c r="D974">
        <v>6</v>
      </c>
      <c r="E974" t="s">
        <v>4</v>
      </c>
      <c r="F974" t="s">
        <v>1</v>
      </c>
      <c r="G974" t="s">
        <v>29</v>
      </c>
      <c r="H974">
        <v>73</v>
      </c>
      <c r="I974">
        <v>31.97</v>
      </c>
      <c r="J974">
        <v>17.489999999999998</v>
      </c>
      <c r="K974" t="s">
        <v>15</v>
      </c>
      <c r="L974">
        <v>120</v>
      </c>
      <c r="M974">
        <v>178</v>
      </c>
      <c r="N974">
        <v>77</v>
      </c>
      <c r="O974">
        <v>50</v>
      </c>
      <c r="P974" t="s">
        <v>46</v>
      </c>
    </row>
    <row r="975" spans="1:16" x14ac:dyDescent="0.25">
      <c r="A975">
        <v>985</v>
      </c>
      <c r="B975" s="2">
        <v>44110.302083333336</v>
      </c>
      <c r="C975" s="2">
        <v>44110.669444444444</v>
      </c>
      <c r="D975">
        <v>4</v>
      </c>
      <c r="E975" t="s">
        <v>4</v>
      </c>
      <c r="F975" t="s">
        <v>3</v>
      </c>
      <c r="G975" t="s">
        <v>23</v>
      </c>
      <c r="H975">
        <v>68</v>
      </c>
      <c r="I975">
        <v>4.3600000000000003</v>
      </c>
      <c r="J975">
        <v>0.76</v>
      </c>
      <c r="K975" t="s">
        <v>15</v>
      </c>
      <c r="L975">
        <v>79</v>
      </c>
      <c r="M975">
        <v>163</v>
      </c>
      <c r="N975">
        <v>128</v>
      </c>
      <c r="O975">
        <v>62</v>
      </c>
      <c r="P975" t="s">
        <v>44</v>
      </c>
    </row>
    <row r="976" spans="1:16" x14ac:dyDescent="0.25">
      <c r="A976">
        <v>986</v>
      </c>
      <c r="B976" s="2">
        <v>44102.443749999999</v>
      </c>
      <c r="C976" s="2">
        <v>44111.338194444441</v>
      </c>
      <c r="D976">
        <v>4</v>
      </c>
      <c r="E976" t="s">
        <v>6</v>
      </c>
      <c r="F976" t="s">
        <v>10</v>
      </c>
      <c r="G976" t="s">
        <v>24</v>
      </c>
      <c r="H976">
        <v>63</v>
      </c>
      <c r="I976">
        <v>2.71</v>
      </c>
      <c r="J976">
        <v>1.5</v>
      </c>
      <c r="K976" t="s">
        <v>15</v>
      </c>
      <c r="L976">
        <v>90</v>
      </c>
      <c r="M976">
        <v>166</v>
      </c>
      <c r="N976">
        <v>66</v>
      </c>
      <c r="O976">
        <v>58</v>
      </c>
      <c r="P976" t="s">
        <v>44</v>
      </c>
    </row>
    <row r="977" spans="1:16" x14ac:dyDescent="0.25">
      <c r="A977">
        <v>987</v>
      </c>
      <c r="B977" s="2">
        <v>44110.664583333331</v>
      </c>
      <c r="C977" s="2">
        <v>44111.34097222222</v>
      </c>
      <c r="D977">
        <v>5</v>
      </c>
      <c r="E977" t="s">
        <v>4</v>
      </c>
      <c r="F977" t="s">
        <v>10</v>
      </c>
      <c r="G977" t="s">
        <v>31</v>
      </c>
      <c r="H977">
        <v>82</v>
      </c>
      <c r="I977">
        <v>7.35</v>
      </c>
      <c r="J977">
        <v>2.12</v>
      </c>
      <c r="K977" t="s">
        <v>15</v>
      </c>
      <c r="L977">
        <v>73</v>
      </c>
      <c r="M977">
        <v>154</v>
      </c>
      <c r="N977">
        <v>64</v>
      </c>
      <c r="O977">
        <v>53</v>
      </c>
      <c r="P977" t="s">
        <v>44</v>
      </c>
    </row>
    <row r="978" spans="1:16" x14ac:dyDescent="0.25">
      <c r="A978">
        <v>988</v>
      </c>
      <c r="B978" s="2">
        <v>44110.851388888892</v>
      </c>
      <c r="C978" s="2">
        <v>44111.34375</v>
      </c>
      <c r="D978">
        <v>6</v>
      </c>
      <c r="E978" t="s">
        <v>2</v>
      </c>
      <c r="F978" t="s">
        <v>1</v>
      </c>
      <c r="G978" t="s">
        <v>30</v>
      </c>
      <c r="H978">
        <v>53</v>
      </c>
      <c r="I978">
        <v>23.24</v>
      </c>
      <c r="J978">
        <v>5.66</v>
      </c>
      <c r="K978" t="s">
        <v>13</v>
      </c>
      <c r="L978">
        <v>93</v>
      </c>
      <c r="M978">
        <v>180</v>
      </c>
      <c r="N978">
        <v>118</v>
      </c>
      <c r="O978">
        <v>50</v>
      </c>
      <c r="P978" t="s">
        <v>46</v>
      </c>
    </row>
    <row r="979" spans="1:16" x14ac:dyDescent="0.25">
      <c r="A979">
        <v>989</v>
      </c>
      <c r="B979" s="2">
        <v>44108.354166666664</v>
      </c>
      <c r="C979" s="2">
        <v>44111.548611111109</v>
      </c>
      <c r="D979">
        <v>4</v>
      </c>
      <c r="E979" t="s">
        <v>4</v>
      </c>
      <c r="F979" t="s">
        <v>11</v>
      </c>
      <c r="G979" t="s">
        <v>24</v>
      </c>
      <c r="H979">
        <v>79</v>
      </c>
      <c r="I979">
        <v>8.1</v>
      </c>
      <c r="J979">
        <v>2.23</v>
      </c>
      <c r="K979" t="s">
        <v>15</v>
      </c>
      <c r="L979">
        <v>66</v>
      </c>
      <c r="M979">
        <v>182</v>
      </c>
      <c r="N979">
        <v>94</v>
      </c>
      <c r="O979">
        <v>60</v>
      </c>
      <c r="P979" t="s">
        <v>44</v>
      </c>
    </row>
    <row r="980" spans="1:16" x14ac:dyDescent="0.25">
      <c r="A980">
        <v>990</v>
      </c>
      <c r="B980" s="2">
        <v>44111.645833333336</v>
      </c>
      <c r="C980" s="2">
        <v>44112.333333333336</v>
      </c>
      <c r="D980">
        <v>2</v>
      </c>
      <c r="E980" t="s">
        <v>4</v>
      </c>
      <c r="F980" t="s">
        <v>3</v>
      </c>
      <c r="G980" t="s">
        <v>35</v>
      </c>
      <c r="H980">
        <v>83</v>
      </c>
      <c r="I980">
        <v>7.03</v>
      </c>
      <c r="J980">
        <v>0.96</v>
      </c>
      <c r="K980" t="s">
        <v>15</v>
      </c>
      <c r="L980">
        <v>61</v>
      </c>
      <c r="M980">
        <v>167</v>
      </c>
      <c r="N980">
        <v>76</v>
      </c>
      <c r="O980">
        <v>56</v>
      </c>
      <c r="P980" t="s">
        <v>44</v>
      </c>
    </row>
    <row r="981" spans="1:16" x14ac:dyDescent="0.25">
      <c r="A981">
        <v>991</v>
      </c>
      <c r="B981" s="2">
        <v>44111.583333333336</v>
      </c>
      <c r="C981" s="2">
        <v>44112.345138888886</v>
      </c>
      <c r="D981">
        <v>6</v>
      </c>
      <c r="E981" t="s">
        <v>4</v>
      </c>
      <c r="F981" t="s">
        <v>10</v>
      </c>
      <c r="G981" t="s">
        <v>23</v>
      </c>
      <c r="H981">
        <v>75</v>
      </c>
      <c r="I981">
        <v>2.52</v>
      </c>
      <c r="J981">
        <v>0.77</v>
      </c>
      <c r="K981" t="s">
        <v>15</v>
      </c>
      <c r="L981">
        <v>93</v>
      </c>
      <c r="M981">
        <v>158</v>
      </c>
      <c r="N981">
        <v>77</v>
      </c>
      <c r="O981">
        <v>55</v>
      </c>
      <c r="P981" t="s">
        <v>44</v>
      </c>
    </row>
    <row r="982" spans="1:16" x14ac:dyDescent="0.25">
      <c r="A982">
        <v>992</v>
      </c>
      <c r="B982" s="2">
        <v>44111.574999999997</v>
      </c>
      <c r="C982" s="2">
        <v>44112.34652777778</v>
      </c>
      <c r="D982">
        <v>3</v>
      </c>
      <c r="E982" t="s">
        <v>6</v>
      </c>
      <c r="F982" t="s">
        <v>3</v>
      </c>
      <c r="G982" t="s">
        <v>33</v>
      </c>
      <c r="H982">
        <v>77</v>
      </c>
      <c r="I982">
        <v>4.83</v>
      </c>
      <c r="J982">
        <v>3.19</v>
      </c>
      <c r="K982" t="s">
        <v>15</v>
      </c>
      <c r="L982">
        <v>74</v>
      </c>
      <c r="M982">
        <v>175</v>
      </c>
      <c r="N982">
        <v>98</v>
      </c>
      <c r="O982">
        <v>53</v>
      </c>
      <c r="P982" t="s">
        <v>44</v>
      </c>
    </row>
    <row r="983" spans="1:16" x14ac:dyDescent="0.25">
      <c r="A983">
        <v>993</v>
      </c>
      <c r="B983" s="2">
        <v>44112.291666666664</v>
      </c>
      <c r="C983" s="2">
        <v>44112.478472222225</v>
      </c>
      <c r="D983">
        <v>3</v>
      </c>
      <c r="E983" t="s">
        <v>4</v>
      </c>
      <c r="F983" t="s">
        <v>3</v>
      </c>
      <c r="G983" t="s">
        <v>33</v>
      </c>
      <c r="H983">
        <v>72</v>
      </c>
      <c r="I983">
        <v>5.24</v>
      </c>
      <c r="J983">
        <v>3.71</v>
      </c>
      <c r="K983" t="s">
        <v>15</v>
      </c>
      <c r="L983">
        <v>128</v>
      </c>
      <c r="M983">
        <v>150</v>
      </c>
      <c r="N983">
        <v>66</v>
      </c>
      <c r="O983">
        <v>20</v>
      </c>
      <c r="P983" t="s">
        <v>47</v>
      </c>
    </row>
    <row r="984" spans="1:16" x14ac:dyDescent="0.25">
      <c r="A984">
        <v>994</v>
      </c>
      <c r="B984" s="2">
        <v>44110.601388888892</v>
      </c>
      <c r="C984" s="2">
        <v>44112.504861111112</v>
      </c>
      <c r="D984">
        <v>6</v>
      </c>
      <c r="E984" t="s">
        <v>6</v>
      </c>
      <c r="F984" t="s">
        <v>1</v>
      </c>
      <c r="G984" t="s">
        <v>23</v>
      </c>
      <c r="H984">
        <v>65</v>
      </c>
      <c r="I984">
        <v>6.78</v>
      </c>
      <c r="J984">
        <v>2.58</v>
      </c>
      <c r="K984" t="s">
        <v>15</v>
      </c>
      <c r="L984">
        <v>78</v>
      </c>
      <c r="M984">
        <v>163</v>
      </c>
      <c r="N984">
        <v>65</v>
      </c>
      <c r="O984">
        <v>53</v>
      </c>
      <c r="P984" t="s">
        <v>44</v>
      </c>
    </row>
    <row r="985" spans="1:16" x14ac:dyDescent="0.25">
      <c r="A985">
        <v>995</v>
      </c>
      <c r="B985" s="2">
        <v>44112.291666666664</v>
      </c>
      <c r="C985" s="2">
        <v>44112.5625</v>
      </c>
      <c r="D985">
        <v>2</v>
      </c>
      <c r="E985" t="s">
        <v>4</v>
      </c>
      <c r="F985" t="s">
        <v>3</v>
      </c>
      <c r="G985" t="s">
        <v>26</v>
      </c>
      <c r="H985">
        <v>61</v>
      </c>
      <c r="I985">
        <v>1.72</v>
      </c>
      <c r="J985">
        <v>0.52</v>
      </c>
      <c r="K985" t="s">
        <v>15</v>
      </c>
      <c r="L985">
        <v>79</v>
      </c>
      <c r="M985">
        <v>165</v>
      </c>
      <c r="N985">
        <v>74</v>
      </c>
      <c r="O985">
        <v>30</v>
      </c>
      <c r="P985" t="s">
        <v>45</v>
      </c>
    </row>
    <row r="986" spans="1:16" x14ac:dyDescent="0.25">
      <c r="A986">
        <v>996</v>
      </c>
      <c r="B986" s="2">
        <v>44112.304166666669</v>
      </c>
      <c r="C986" s="2">
        <v>44112.630555555559</v>
      </c>
      <c r="D986">
        <v>3</v>
      </c>
      <c r="E986" t="s">
        <v>4</v>
      </c>
      <c r="F986" t="s">
        <v>3</v>
      </c>
      <c r="G986" t="s">
        <v>33</v>
      </c>
      <c r="H986">
        <v>79</v>
      </c>
      <c r="I986">
        <v>11.66</v>
      </c>
      <c r="J986">
        <v>1.93</v>
      </c>
      <c r="K986" t="s">
        <v>15</v>
      </c>
      <c r="L986">
        <v>146</v>
      </c>
      <c r="M986">
        <v>161</v>
      </c>
      <c r="N986">
        <v>65</v>
      </c>
      <c r="O986">
        <v>30</v>
      </c>
      <c r="P986" t="s">
        <v>45</v>
      </c>
    </row>
    <row r="987" spans="1:16" x14ac:dyDescent="0.25">
      <c r="A987">
        <v>997</v>
      </c>
      <c r="B987" s="2">
        <v>44112.664583333331</v>
      </c>
      <c r="C987" s="2">
        <v>44113.326388888891</v>
      </c>
      <c r="D987">
        <v>2</v>
      </c>
      <c r="E987" t="s">
        <v>4</v>
      </c>
      <c r="F987" t="s">
        <v>3</v>
      </c>
      <c r="G987" t="s">
        <v>35</v>
      </c>
      <c r="H987">
        <v>35</v>
      </c>
      <c r="I987">
        <v>2.08</v>
      </c>
      <c r="J987">
        <v>0.69</v>
      </c>
      <c r="K987" t="s">
        <v>15</v>
      </c>
      <c r="L987">
        <v>77</v>
      </c>
      <c r="M987">
        <v>188</v>
      </c>
      <c r="N987">
        <v>116</v>
      </c>
      <c r="O987">
        <v>49</v>
      </c>
      <c r="P987" t="s">
        <v>46</v>
      </c>
    </row>
    <row r="988" spans="1:16" x14ac:dyDescent="0.25">
      <c r="A988">
        <v>998</v>
      </c>
      <c r="B988" s="2">
        <v>44101.430555555555</v>
      </c>
      <c r="C988" s="2">
        <v>44113.333333333336</v>
      </c>
      <c r="D988">
        <v>5</v>
      </c>
      <c r="E988" t="s">
        <v>6</v>
      </c>
      <c r="F988" t="s">
        <v>10</v>
      </c>
      <c r="G988" t="s">
        <v>21</v>
      </c>
      <c r="H988">
        <v>73</v>
      </c>
      <c r="I988">
        <v>7.62</v>
      </c>
      <c r="J988">
        <v>2.61</v>
      </c>
      <c r="K988" t="s">
        <v>15</v>
      </c>
      <c r="L988">
        <v>66</v>
      </c>
      <c r="M988">
        <v>166</v>
      </c>
      <c r="N988">
        <v>81</v>
      </c>
      <c r="O988">
        <v>65</v>
      </c>
      <c r="P988" t="s">
        <v>44</v>
      </c>
    </row>
    <row r="989" spans="1:16" x14ac:dyDescent="0.25">
      <c r="A989">
        <v>999</v>
      </c>
      <c r="B989" s="2">
        <v>44112.489583333336</v>
      </c>
      <c r="C989" s="2">
        <v>44113.336805555555</v>
      </c>
      <c r="D989">
        <v>4</v>
      </c>
      <c r="E989" t="s">
        <v>4</v>
      </c>
      <c r="F989" t="s">
        <v>10</v>
      </c>
      <c r="G989" t="s">
        <v>24</v>
      </c>
      <c r="H989">
        <v>59</v>
      </c>
      <c r="I989">
        <v>1.43</v>
      </c>
      <c r="J989">
        <v>0.81</v>
      </c>
      <c r="K989" t="s">
        <v>15</v>
      </c>
      <c r="L989">
        <v>107</v>
      </c>
      <c r="M989">
        <v>170</v>
      </c>
      <c r="N989">
        <v>70</v>
      </c>
      <c r="O989">
        <v>68</v>
      </c>
      <c r="P989" t="s">
        <v>44</v>
      </c>
    </row>
    <row r="990" spans="1:16" x14ac:dyDescent="0.25">
      <c r="A990">
        <v>1000</v>
      </c>
      <c r="B990" s="2">
        <v>44112.662499999999</v>
      </c>
      <c r="C990" s="2">
        <v>44113.338888888888</v>
      </c>
      <c r="D990">
        <v>6</v>
      </c>
      <c r="E990" t="s">
        <v>4</v>
      </c>
      <c r="F990" t="s">
        <v>11</v>
      </c>
      <c r="G990" t="s">
        <v>27</v>
      </c>
      <c r="H990">
        <v>66</v>
      </c>
      <c r="I990">
        <v>13.99</v>
      </c>
      <c r="J990">
        <v>8.65</v>
      </c>
      <c r="K990" t="s">
        <v>15</v>
      </c>
      <c r="L990">
        <v>68</v>
      </c>
      <c r="M990">
        <v>180</v>
      </c>
      <c r="N990">
        <v>122</v>
      </c>
      <c r="O990">
        <v>45</v>
      </c>
      <c r="P990" t="s">
        <v>46</v>
      </c>
    </row>
    <row r="991" spans="1:16" x14ac:dyDescent="0.25">
      <c r="A991">
        <v>1001</v>
      </c>
      <c r="B991" s="2">
        <v>44113.306944444441</v>
      </c>
      <c r="C991" s="2">
        <v>44113.5</v>
      </c>
      <c r="D991">
        <v>2</v>
      </c>
      <c r="E991" t="s">
        <v>4</v>
      </c>
      <c r="F991" t="s">
        <v>10</v>
      </c>
      <c r="G991" t="s">
        <v>35</v>
      </c>
      <c r="H991">
        <v>66</v>
      </c>
      <c r="I991">
        <v>1.4</v>
      </c>
      <c r="J991">
        <v>0.89</v>
      </c>
      <c r="K991" t="s">
        <v>15</v>
      </c>
      <c r="L991">
        <v>110</v>
      </c>
      <c r="M991">
        <v>175</v>
      </c>
      <c r="N991">
        <v>125</v>
      </c>
      <c r="O991">
        <v>50</v>
      </c>
      <c r="P991" t="s">
        <v>46</v>
      </c>
    </row>
    <row r="992" spans="1:16" x14ac:dyDescent="0.25">
      <c r="A992">
        <v>1002</v>
      </c>
      <c r="B992" s="2">
        <v>44113.304861111108</v>
      </c>
      <c r="C992" s="2">
        <v>44113.5625</v>
      </c>
      <c r="D992">
        <v>5</v>
      </c>
      <c r="E992" t="s">
        <v>4</v>
      </c>
      <c r="F992" t="s">
        <v>3</v>
      </c>
      <c r="G992" t="s">
        <v>21</v>
      </c>
      <c r="H992">
        <v>77</v>
      </c>
      <c r="I992">
        <v>7.16</v>
      </c>
      <c r="J992">
        <v>1.49</v>
      </c>
      <c r="K992" t="s">
        <v>15</v>
      </c>
      <c r="L992">
        <v>80</v>
      </c>
      <c r="M992">
        <v>153</v>
      </c>
      <c r="N992">
        <v>65</v>
      </c>
      <c r="O992">
        <v>55</v>
      </c>
      <c r="P992" t="s">
        <v>44</v>
      </c>
    </row>
    <row r="993" spans="1:16" x14ac:dyDescent="0.25">
      <c r="A993">
        <v>1003</v>
      </c>
      <c r="B993" s="2">
        <v>44111.416666666664</v>
      </c>
      <c r="C993" s="2">
        <v>44113.577777777777</v>
      </c>
      <c r="D993">
        <v>4</v>
      </c>
      <c r="E993" t="s">
        <v>6</v>
      </c>
      <c r="F993" t="s">
        <v>3</v>
      </c>
      <c r="G993" t="s">
        <v>24</v>
      </c>
      <c r="H993">
        <v>68</v>
      </c>
      <c r="I993">
        <v>5.09</v>
      </c>
      <c r="J993">
        <v>1.96</v>
      </c>
      <c r="K993" t="s">
        <v>15</v>
      </c>
      <c r="L993">
        <v>87</v>
      </c>
      <c r="M993">
        <v>165</v>
      </c>
      <c r="N993">
        <v>70</v>
      </c>
      <c r="O993">
        <v>45</v>
      </c>
      <c r="P993" t="s">
        <v>46</v>
      </c>
    </row>
    <row r="994" spans="1:16" x14ac:dyDescent="0.25">
      <c r="A994">
        <v>1004</v>
      </c>
      <c r="B994" s="2">
        <v>44096.515277777777</v>
      </c>
      <c r="C994" s="2">
        <v>44113.614583333336</v>
      </c>
      <c r="D994">
        <v>6</v>
      </c>
      <c r="E994" t="s">
        <v>6</v>
      </c>
      <c r="F994" t="s">
        <v>11</v>
      </c>
      <c r="G994" t="s">
        <v>27</v>
      </c>
      <c r="H994">
        <v>74</v>
      </c>
      <c r="I994">
        <v>9.83</v>
      </c>
      <c r="J994">
        <v>2.77</v>
      </c>
      <c r="K994" t="s">
        <v>15</v>
      </c>
      <c r="L994">
        <v>133</v>
      </c>
      <c r="M994">
        <v>172</v>
      </c>
      <c r="N994">
        <v>101</v>
      </c>
      <c r="O994">
        <v>36</v>
      </c>
      <c r="P994" t="s">
        <v>46</v>
      </c>
    </row>
    <row r="995" spans="1:16" x14ac:dyDescent="0.25">
      <c r="A995">
        <v>1005</v>
      </c>
      <c r="B995" s="2">
        <v>44113.666666666664</v>
      </c>
      <c r="C995" s="2">
        <v>44114.320833333331</v>
      </c>
      <c r="D995">
        <v>5</v>
      </c>
      <c r="E995" t="s">
        <v>4</v>
      </c>
      <c r="F995" t="s">
        <v>10</v>
      </c>
      <c r="G995" t="s">
        <v>26</v>
      </c>
      <c r="H995">
        <v>64</v>
      </c>
      <c r="I995">
        <v>1.23</v>
      </c>
      <c r="J995">
        <v>0.56000000000000005</v>
      </c>
      <c r="K995" t="s">
        <v>15</v>
      </c>
      <c r="L995">
        <v>71</v>
      </c>
      <c r="M995">
        <v>173</v>
      </c>
      <c r="N995">
        <v>64</v>
      </c>
      <c r="O995">
        <v>57</v>
      </c>
      <c r="P995" t="s">
        <v>44</v>
      </c>
    </row>
    <row r="996" spans="1:16" x14ac:dyDescent="0.25">
      <c r="A996">
        <v>1006</v>
      </c>
      <c r="B996" s="2">
        <v>44113.588888888888</v>
      </c>
      <c r="C996" s="2">
        <v>44114.326388888891</v>
      </c>
      <c r="D996">
        <v>4</v>
      </c>
      <c r="E996" t="s">
        <v>4</v>
      </c>
      <c r="F996" t="s">
        <v>10</v>
      </c>
      <c r="G996" t="s">
        <v>29</v>
      </c>
      <c r="H996">
        <v>76</v>
      </c>
      <c r="I996">
        <v>2.69</v>
      </c>
      <c r="J996">
        <v>1.07</v>
      </c>
      <c r="K996" t="s">
        <v>15</v>
      </c>
      <c r="L996">
        <v>126</v>
      </c>
      <c r="M996">
        <v>160</v>
      </c>
      <c r="N996">
        <v>55</v>
      </c>
      <c r="O996">
        <v>55</v>
      </c>
      <c r="P996" t="s">
        <v>44</v>
      </c>
    </row>
    <row r="997" spans="1:16" x14ac:dyDescent="0.25">
      <c r="A997">
        <v>1007</v>
      </c>
      <c r="B997" s="2">
        <v>44113.48333333333</v>
      </c>
      <c r="C997" s="2">
        <v>44114.534722222219</v>
      </c>
      <c r="D997">
        <v>5</v>
      </c>
      <c r="E997" t="s">
        <v>4</v>
      </c>
      <c r="F997" t="s">
        <v>11</v>
      </c>
      <c r="G997" t="s">
        <v>26</v>
      </c>
      <c r="H997">
        <v>78</v>
      </c>
      <c r="I997">
        <v>8.15</v>
      </c>
      <c r="J997">
        <v>3.27</v>
      </c>
      <c r="K997" t="s">
        <v>15</v>
      </c>
      <c r="L997">
        <v>92</v>
      </c>
      <c r="M997">
        <v>167</v>
      </c>
      <c r="N997">
        <v>109</v>
      </c>
      <c r="O997">
        <v>45</v>
      </c>
      <c r="P997" t="s">
        <v>46</v>
      </c>
    </row>
    <row r="998" spans="1:16" x14ac:dyDescent="0.25">
      <c r="A998">
        <v>1008</v>
      </c>
      <c r="B998" s="2">
        <v>44114.3</v>
      </c>
      <c r="C998" s="2">
        <v>44114.5625</v>
      </c>
      <c r="D998">
        <v>4</v>
      </c>
      <c r="E998" t="s">
        <v>4</v>
      </c>
      <c r="F998" t="s">
        <v>10</v>
      </c>
      <c r="G998" t="s">
        <v>29</v>
      </c>
      <c r="H998">
        <v>63</v>
      </c>
      <c r="I998">
        <v>1.73</v>
      </c>
      <c r="J998">
        <v>1</v>
      </c>
      <c r="K998" t="s">
        <v>15</v>
      </c>
      <c r="L998">
        <v>119</v>
      </c>
      <c r="M998">
        <v>170</v>
      </c>
      <c r="N998">
        <v>81</v>
      </c>
      <c r="O998">
        <v>65</v>
      </c>
      <c r="P998" t="s">
        <v>44</v>
      </c>
    </row>
    <row r="999" spans="1:16" x14ac:dyDescent="0.25">
      <c r="A999">
        <v>1009</v>
      </c>
      <c r="B999" s="2">
        <v>44110.851388888892</v>
      </c>
      <c r="C999" s="2">
        <v>44114.831944444442</v>
      </c>
      <c r="D999">
        <v>4</v>
      </c>
      <c r="E999" t="s">
        <v>2</v>
      </c>
      <c r="F999" t="s">
        <v>5</v>
      </c>
      <c r="G999" t="s">
        <v>30</v>
      </c>
      <c r="H999">
        <v>53</v>
      </c>
      <c r="I999">
        <v>11.86</v>
      </c>
      <c r="J999">
        <v>1.73</v>
      </c>
      <c r="K999" t="s">
        <v>13</v>
      </c>
      <c r="L999">
        <v>116</v>
      </c>
      <c r="M999">
        <v>161</v>
      </c>
      <c r="N999">
        <v>92</v>
      </c>
      <c r="O999">
        <v>35</v>
      </c>
      <c r="P999" t="s">
        <v>46</v>
      </c>
    </row>
    <row r="1000" spans="1:16" x14ac:dyDescent="0.25">
      <c r="A1000">
        <v>1010</v>
      </c>
      <c r="B1000" s="2">
        <v>44115.659722222219</v>
      </c>
      <c r="C1000" s="2">
        <v>44116.331250000003</v>
      </c>
      <c r="D1000">
        <v>4</v>
      </c>
      <c r="E1000" t="s">
        <v>4</v>
      </c>
      <c r="F1000" t="s">
        <v>10</v>
      </c>
      <c r="G1000" t="s">
        <v>33</v>
      </c>
      <c r="H1000">
        <v>49</v>
      </c>
      <c r="I1000">
        <v>4.3899999999999997</v>
      </c>
      <c r="J1000">
        <v>3.01</v>
      </c>
      <c r="K1000" t="s">
        <v>15</v>
      </c>
      <c r="L1000">
        <v>84</v>
      </c>
      <c r="M1000">
        <v>172</v>
      </c>
      <c r="N1000">
        <v>76</v>
      </c>
      <c r="O1000">
        <v>65</v>
      </c>
      <c r="P1000" t="s">
        <v>44</v>
      </c>
    </row>
    <row r="1001" spans="1:16" x14ac:dyDescent="0.25">
      <c r="A1001">
        <v>1011</v>
      </c>
      <c r="B1001" s="2">
        <v>44115.666666666664</v>
      </c>
      <c r="C1001" s="2">
        <v>44116.340277777781</v>
      </c>
      <c r="D1001">
        <v>3</v>
      </c>
      <c r="E1001" t="s">
        <v>4</v>
      </c>
      <c r="F1001" t="s">
        <v>10</v>
      </c>
      <c r="G1001" t="s">
        <v>30</v>
      </c>
      <c r="H1001">
        <v>72</v>
      </c>
      <c r="I1001">
        <v>4.28</v>
      </c>
      <c r="J1001">
        <v>1.79</v>
      </c>
      <c r="K1001" t="s">
        <v>15</v>
      </c>
      <c r="L1001">
        <v>72</v>
      </c>
      <c r="M1001">
        <v>175</v>
      </c>
      <c r="N1001">
        <v>97</v>
      </c>
      <c r="O1001">
        <v>42</v>
      </c>
      <c r="P1001" t="s">
        <v>46</v>
      </c>
    </row>
    <row r="1002" spans="1:16" x14ac:dyDescent="0.25">
      <c r="A1002">
        <v>1012</v>
      </c>
      <c r="B1002" s="2">
        <v>44115.666666666664</v>
      </c>
      <c r="C1002" s="2">
        <v>44116.341666666667</v>
      </c>
      <c r="D1002">
        <v>2</v>
      </c>
      <c r="E1002" t="s">
        <v>4</v>
      </c>
      <c r="F1002" t="s">
        <v>3</v>
      </c>
      <c r="G1002" t="s">
        <v>35</v>
      </c>
      <c r="H1002">
        <v>77</v>
      </c>
      <c r="I1002">
        <v>6.59</v>
      </c>
      <c r="J1002">
        <v>1.73</v>
      </c>
      <c r="K1002" t="s">
        <v>15</v>
      </c>
      <c r="L1002">
        <v>65</v>
      </c>
      <c r="M1002">
        <v>171</v>
      </c>
      <c r="N1002">
        <v>76</v>
      </c>
      <c r="O1002">
        <v>53</v>
      </c>
      <c r="P1002" t="s">
        <v>44</v>
      </c>
    </row>
    <row r="1003" spans="1:16" x14ac:dyDescent="0.25">
      <c r="A1003">
        <v>1013</v>
      </c>
      <c r="B1003" s="2">
        <v>44114.666666666664</v>
      </c>
      <c r="C1003" s="2">
        <v>44116.341666666667</v>
      </c>
      <c r="D1003">
        <v>6</v>
      </c>
      <c r="E1003" t="s">
        <v>4</v>
      </c>
      <c r="F1003" t="s">
        <v>1</v>
      </c>
      <c r="G1003" t="s">
        <v>23</v>
      </c>
      <c r="H1003">
        <v>57</v>
      </c>
      <c r="I1003">
        <v>7.39</v>
      </c>
      <c r="J1003">
        <v>2.64</v>
      </c>
      <c r="K1003" t="s">
        <v>15</v>
      </c>
      <c r="L1003">
        <v>79</v>
      </c>
      <c r="M1003">
        <v>60</v>
      </c>
      <c r="N1003">
        <v>180</v>
      </c>
      <c r="O1003">
        <v>55</v>
      </c>
      <c r="P1003" t="s">
        <v>44</v>
      </c>
    </row>
    <row r="1004" spans="1:16" x14ac:dyDescent="0.25">
      <c r="A1004">
        <v>1014</v>
      </c>
      <c r="B1004" s="2">
        <v>44115.666666666664</v>
      </c>
      <c r="C1004" s="2">
        <v>44116.34375</v>
      </c>
      <c r="D1004">
        <v>5</v>
      </c>
      <c r="E1004" t="s">
        <v>4</v>
      </c>
      <c r="F1004" t="s">
        <v>3</v>
      </c>
      <c r="G1004" t="s">
        <v>29</v>
      </c>
      <c r="H1004">
        <v>82</v>
      </c>
      <c r="I1004">
        <v>6.61</v>
      </c>
      <c r="J1004">
        <v>1.4</v>
      </c>
      <c r="K1004" t="s">
        <v>15</v>
      </c>
      <c r="L1004">
        <v>147</v>
      </c>
      <c r="M1004">
        <v>179</v>
      </c>
      <c r="N1004">
        <v>77</v>
      </c>
      <c r="O1004">
        <v>65</v>
      </c>
      <c r="P1004" t="s">
        <v>44</v>
      </c>
    </row>
    <row r="1005" spans="1:16" x14ac:dyDescent="0.25">
      <c r="A1005">
        <v>1015</v>
      </c>
      <c r="B1005" s="2">
        <v>44116.289583333331</v>
      </c>
      <c r="C1005" s="2">
        <v>44116.53125</v>
      </c>
      <c r="D1005">
        <v>4</v>
      </c>
      <c r="E1005" t="s">
        <v>4</v>
      </c>
      <c r="F1005" t="s">
        <v>3</v>
      </c>
      <c r="G1005" t="s">
        <v>33</v>
      </c>
      <c r="H1005">
        <v>70</v>
      </c>
      <c r="I1005">
        <v>3.08</v>
      </c>
      <c r="J1005">
        <v>1.27</v>
      </c>
      <c r="K1005" t="s">
        <v>15</v>
      </c>
      <c r="L1005">
        <v>84</v>
      </c>
      <c r="M1005">
        <v>160</v>
      </c>
      <c r="N1005">
        <v>54</v>
      </c>
      <c r="O1005">
        <v>55</v>
      </c>
      <c r="P1005" t="s">
        <v>44</v>
      </c>
    </row>
    <row r="1006" spans="1:16" x14ac:dyDescent="0.25">
      <c r="A1006">
        <v>1016</v>
      </c>
      <c r="B1006" s="2">
        <v>44113.658333333333</v>
      </c>
      <c r="C1006" s="2">
        <v>44116.534722222219</v>
      </c>
      <c r="D1006">
        <v>3</v>
      </c>
      <c r="E1006" t="s">
        <v>4</v>
      </c>
      <c r="F1006" t="s">
        <v>11</v>
      </c>
      <c r="G1006" t="s">
        <v>30</v>
      </c>
      <c r="H1006">
        <v>84</v>
      </c>
      <c r="I1006">
        <v>7.48</v>
      </c>
      <c r="J1006">
        <v>4.29</v>
      </c>
      <c r="K1006" t="s">
        <v>15</v>
      </c>
      <c r="L1006">
        <v>196</v>
      </c>
      <c r="M1006">
        <v>169</v>
      </c>
      <c r="N1006">
        <v>68</v>
      </c>
      <c r="O1006">
        <v>66</v>
      </c>
      <c r="P1006" t="s">
        <v>44</v>
      </c>
    </row>
    <row r="1007" spans="1:16" x14ac:dyDescent="0.25">
      <c r="A1007">
        <v>1017</v>
      </c>
      <c r="B1007" s="2">
        <v>44104.625</v>
      </c>
      <c r="C1007" s="2">
        <v>44116.554166666669</v>
      </c>
      <c r="D1007">
        <v>2</v>
      </c>
      <c r="E1007" t="s">
        <v>6</v>
      </c>
      <c r="F1007" t="s">
        <v>10</v>
      </c>
      <c r="G1007" t="s">
        <v>24</v>
      </c>
      <c r="H1007">
        <v>71</v>
      </c>
      <c r="I1007">
        <v>3.3</v>
      </c>
      <c r="J1007">
        <v>3.17</v>
      </c>
      <c r="K1007" t="s">
        <v>15</v>
      </c>
      <c r="L1007">
        <v>86</v>
      </c>
      <c r="M1007">
        <v>164</v>
      </c>
      <c r="N1007">
        <v>57</v>
      </c>
      <c r="O1007">
        <v>48</v>
      </c>
      <c r="P1007" t="s">
        <v>46</v>
      </c>
    </row>
    <row r="1008" spans="1:16" x14ac:dyDescent="0.25">
      <c r="A1008">
        <v>1018</v>
      </c>
      <c r="B1008" s="2">
        <v>44116.291666666664</v>
      </c>
      <c r="C1008" s="2">
        <v>44116.555555555555</v>
      </c>
      <c r="D1008">
        <v>6</v>
      </c>
      <c r="E1008" t="s">
        <v>4</v>
      </c>
      <c r="F1008" t="s">
        <v>10</v>
      </c>
      <c r="G1008" t="s">
        <v>23</v>
      </c>
      <c r="H1008">
        <v>81</v>
      </c>
      <c r="I1008">
        <v>8.07</v>
      </c>
      <c r="J1008">
        <v>2.04</v>
      </c>
      <c r="K1008" t="s">
        <v>15</v>
      </c>
      <c r="L1008">
        <v>94</v>
      </c>
      <c r="M1008">
        <v>176</v>
      </c>
      <c r="N1008">
        <v>94</v>
      </c>
      <c r="O1008">
        <v>51</v>
      </c>
      <c r="P1008" t="s">
        <v>44</v>
      </c>
    </row>
    <row r="1009" spans="1:16" x14ac:dyDescent="0.25">
      <c r="A1009">
        <v>1019</v>
      </c>
      <c r="B1009" s="2">
        <v>44116.286805555559</v>
      </c>
      <c r="C1009" s="2">
        <v>44116.59375</v>
      </c>
      <c r="D1009">
        <v>5</v>
      </c>
      <c r="E1009" t="s">
        <v>4</v>
      </c>
      <c r="F1009" t="s">
        <v>10</v>
      </c>
      <c r="G1009" t="s">
        <v>29</v>
      </c>
      <c r="H1009">
        <v>63</v>
      </c>
      <c r="I1009">
        <v>3.79</v>
      </c>
      <c r="J1009">
        <v>1.25</v>
      </c>
      <c r="K1009" t="s">
        <v>15</v>
      </c>
      <c r="L1009">
        <v>68</v>
      </c>
      <c r="M1009">
        <v>158</v>
      </c>
      <c r="N1009">
        <v>60</v>
      </c>
      <c r="O1009">
        <v>35</v>
      </c>
      <c r="P1009" t="s">
        <v>46</v>
      </c>
    </row>
    <row r="1010" spans="1:16" x14ac:dyDescent="0.25">
      <c r="A1010">
        <v>1020</v>
      </c>
      <c r="B1010" s="2">
        <v>44115.416666666664</v>
      </c>
      <c r="C1010" s="2">
        <v>44117.336111111108</v>
      </c>
      <c r="D1010">
        <v>4</v>
      </c>
      <c r="E1010" t="s">
        <v>6</v>
      </c>
      <c r="F1010" t="s">
        <v>3</v>
      </c>
      <c r="G1010" t="s">
        <v>35</v>
      </c>
      <c r="H1010">
        <v>83</v>
      </c>
      <c r="I1010">
        <v>9.52</v>
      </c>
      <c r="J1010">
        <v>5.01</v>
      </c>
      <c r="K1010" t="s">
        <v>15</v>
      </c>
      <c r="L1010">
        <v>72</v>
      </c>
      <c r="M1010">
        <v>162</v>
      </c>
      <c r="N1010">
        <v>53</v>
      </c>
      <c r="O1010">
        <v>65</v>
      </c>
      <c r="P1010" t="s">
        <v>44</v>
      </c>
    </row>
    <row r="1011" spans="1:16" x14ac:dyDescent="0.25">
      <c r="A1011">
        <v>1021</v>
      </c>
      <c r="B1011" s="2">
        <v>44115.583333333336</v>
      </c>
      <c r="C1011" s="2">
        <v>44117.34375</v>
      </c>
      <c r="D1011">
        <v>5</v>
      </c>
      <c r="E1011" t="s">
        <v>6</v>
      </c>
      <c r="F1011" t="s">
        <v>10</v>
      </c>
      <c r="G1011" t="s">
        <v>26</v>
      </c>
      <c r="H1011">
        <v>76</v>
      </c>
      <c r="I1011">
        <v>12.48</v>
      </c>
      <c r="J1011">
        <v>3.72</v>
      </c>
      <c r="K1011" t="s">
        <v>15</v>
      </c>
      <c r="L1011">
        <v>83</v>
      </c>
      <c r="M1011">
        <v>180</v>
      </c>
      <c r="N1011">
        <v>113</v>
      </c>
      <c r="O1011">
        <v>15</v>
      </c>
      <c r="P1011" t="s">
        <v>47</v>
      </c>
    </row>
    <row r="1012" spans="1:16" x14ac:dyDescent="0.25">
      <c r="A1012">
        <v>1022</v>
      </c>
      <c r="B1012" s="2">
        <v>44116.666666666664</v>
      </c>
      <c r="C1012" s="2">
        <v>44117.34375</v>
      </c>
      <c r="D1012">
        <v>6</v>
      </c>
      <c r="E1012" t="s">
        <v>4</v>
      </c>
      <c r="F1012" t="s">
        <v>1</v>
      </c>
      <c r="G1012" t="s">
        <v>29</v>
      </c>
      <c r="H1012">
        <v>73</v>
      </c>
      <c r="I1012">
        <v>11.02</v>
      </c>
      <c r="J1012">
        <v>3.56</v>
      </c>
      <c r="K1012" t="s">
        <v>15</v>
      </c>
      <c r="L1012">
        <v>82</v>
      </c>
      <c r="M1012">
        <v>172</v>
      </c>
      <c r="N1012">
        <v>81</v>
      </c>
      <c r="O1012">
        <v>35</v>
      </c>
      <c r="P1012" t="s">
        <v>46</v>
      </c>
    </row>
    <row r="1013" spans="1:16" x14ac:dyDescent="0.25">
      <c r="A1013">
        <v>1023</v>
      </c>
      <c r="B1013" s="2">
        <v>44117.292361111111</v>
      </c>
      <c r="C1013" s="2">
        <v>44117.506944444445</v>
      </c>
      <c r="D1013">
        <v>2</v>
      </c>
      <c r="E1013" t="s">
        <v>4</v>
      </c>
      <c r="F1013" t="s">
        <v>3</v>
      </c>
      <c r="G1013" t="s">
        <v>28</v>
      </c>
      <c r="H1013">
        <v>63</v>
      </c>
      <c r="I1013">
        <v>2.7</v>
      </c>
      <c r="J1013">
        <v>1.02</v>
      </c>
      <c r="K1013" t="s">
        <v>15</v>
      </c>
      <c r="L1013">
        <v>134</v>
      </c>
      <c r="M1013">
        <v>178</v>
      </c>
      <c r="N1013">
        <v>85</v>
      </c>
      <c r="O1013">
        <v>61</v>
      </c>
      <c r="P1013" t="s">
        <v>44</v>
      </c>
    </row>
    <row r="1014" spans="1:16" x14ac:dyDescent="0.25">
      <c r="A1014">
        <v>1024</v>
      </c>
      <c r="B1014" s="2">
        <v>44117.300694444442</v>
      </c>
      <c r="C1014" s="2">
        <v>44117.520833333336</v>
      </c>
      <c r="D1014">
        <v>5</v>
      </c>
      <c r="E1014" t="s">
        <v>4</v>
      </c>
      <c r="F1014" t="s">
        <v>10</v>
      </c>
      <c r="G1014" t="s">
        <v>26</v>
      </c>
      <c r="H1014">
        <v>63</v>
      </c>
      <c r="I1014">
        <v>2.0099999999999998</v>
      </c>
      <c r="J1014">
        <v>0.61</v>
      </c>
      <c r="K1014" t="s">
        <v>15</v>
      </c>
      <c r="L1014">
        <v>92</v>
      </c>
      <c r="M1014">
        <v>154</v>
      </c>
      <c r="N1014">
        <v>63</v>
      </c>
      <c r="O1014">
        <v>52</v>
      </c>
      <c r="P1014" t="s">
        <v>44</v>
      </c>
    </row>
    <row r="1015" spans="1:16" x14ac:dyDescent="0.25">
      <c r="A1015">
        <v>1025</v>
      </c>
      <c r="B1015" s="2">
        <v>44117.296527777777</v>
      </c>
      <c r="C1015" s="2">
        <v>44117.648611111108</v>
      </c>
      <c r="D1015">
        <v>6</v>
      </c>
      <c r="E1015" t="s">
        <v>4</v>
      </c>
      <c r="F1015" t="s">
        <v>3</v>
      </c>
      <c r="G1015" t="s">
        <v>29</v>
      </c>
      <c r="H1015">
        <v>67</v>
      </c>
      <c r="I1015">
        <v>2.54</v>
      </c>
      <c r="J1015">
        <v>0.61</v>
      </c>
      <c r="K1015" t="s">
        <v>15</v>
      </c>
      <c r="L1015">
        <v>75</v>
      </c>
      <c r="M1015">
        <v>172</v>
      </c>
      <c r="N1015">
        <v>86</v>
      </c>
      <c r="O1015">
        <v>41</v>
      </c>
      <c r="P1015" t="s">
        <v>46</v>
      </c>
    </row>
    <row r="1016" spans="1:16" x14ac:dyDescent="0.25">
      <c r="A1016">
        <v>1026</v>
      </c>
      <c r="B1016" s="2">
        <v>44117.974618055552</v>
      </c>
      <c r="C1016" s="2">
        <v>44117.984722222223</v>
      </c>
      <c r="D1016">
        <v>5</v>
      </c>
      <c r="E1016" t="s">
        <v>2</v>
      </c>
      <c r="F1016" t="s">
        <v>3</v>
      </c>
      <c r="G1016" t="s">
        <v>30</v>
      </c>
      <c r="H1016">
        <v>65</v>
      </c>
      <c r="I1016">
        <v>50.83</v>
      </c>
      <c r="J1016">
        <v>27.67</v>
      </c>
      <c r="K1016" t="s">
        <v>14</v>
      </c>
      <c r="L1016">
        <v>87</v>
      </c>
      <c r="M1016">
        <v>158</v>
      </c>
      <c r="N1016">
        <v>77</v>
      </c>
      <c r="O1016">
        <v>52</v>
      </c>
      <c r="P1016" t="s">
        <v>44</v>
      </c>
    </row>
    <row r="1017" spans="1:16" x14ac:dyDescent="0.25">
      <c r="A1017">
        <v>1027</v>
      </c>
      <c r="B1017" s="2">
        <v>44111.416666666664</v>
      </c>
      <c r="C1017" s="2">
        <v>44118.345833333333</v>
      </c>
      <c r="D1017">
        <v>4</v>
      </c>
      <c r="E1017" t="s">
        <v>6</v>
      </c>
      <c r="F1017" t="s">
        <v>10</v>
      </c>
      <c r="G1017" t="s">
        <v>24</v>
      </c>
      <c r="H1017">
        <v>73</v>
      </c>
      <c r="I1017">
        <v>10.26</v>
      </c>
      <c r="J1017">
        <v>4.47</v>
      </c>
      <c r="K1017" t="s">
        <v>15</v>
      </c>
      <c r="L1017">
        <v>91</v>
      </c>
      <c r="M1017">
        <v>182</v>
      </c>
      <c r="N1017">
        <v>78</v>
      </c>
      <c r="O1017">
        <v>44</v>
      </c>
      <c r="P1017" t="s">
        <v>46</v>
      </c>
    </row>
    <row r="1018" spans="1:16" x14ac:dyDescent="0.25">
      <c r="A1018">
        <v>1028</v>
      </c>
      <c r="B1018" s="2">
        <v>44111.367361111108</v>
      </c>
      <c r="C1018" s="2">
        <v>44118.347222222219</v>
      </c>
      <c r="D1018">
        <v>5</v>
      </c>
      <c r="E1018" t="s">
        <v>6</v>
      </c>
      <c r="F1018" t="s">
        <v>10</v>
      </c>
      <c r="G1018" t="s">
        <v>31</v>
      </c>
      <c r="H1018">
        <v>74</v>
      </c>
      <c r="I1018">
        <v>4</v>
      </c>
      <c r="J1018">
        <v>1.32</v>
      </c>
      <c r="K1018" t="s">
        <v>15</v>
      </c>
      <c r="L1018">
        <v>64</v>
      </c>
      <c r="M1018">
        <v>175</v>
      </c>
      <c r="N1018">
        <v>91</v>
      </c>
      <c r="O1018">
        <v>60</v>
      </c>
      <c r="P1018" t="s">
        <v>44</v>
      </c>
    </row>
    <row r="1019" spans="1:16" x14ac:dyDescent="0.25">
      <c r="A1019">
        <v>1029</v>
      </c>
      <c r="B1019" s="2">
        <v>44116.45208333333</v>
      </c>
      <c r="C1019" s="2">
        <v>44118.347222222219</v>
      </c>
      <c r="D1019">
        <v>2</v>
      </c>
      <c r="E1019" t="s">
        <v>6</v>
      </c>
      <c r="F1019" t="s">
        <v>3</v>
      </c>
      <c r="G1019" t="s">
        <v>28</v>
      </c>
      <c r="H1019">
        <v>61</v>
      </c>
      <c r="I1019">
        <v>3.83</v>
      </c>
      <c r="J1019">
        <v>6.59</v>
      </c>
      <c r="K1019" t="s">
        <v>15</v>
      </c>
      <c r="L1019">
        <v>95</v>
      </c>
      <c r="M1019">
        <v>162</v>
      </c>
      <c r="N1019">
        <v>116</v>
      </c>
      <c r="O1019">
        <v>54</v>
      </c>
      <c r="P1019" t="s">
        <v>44</v>
      </c>
    </row>
    <row r="1020" spans="1:16" x14ac:dyDescent="0.25">
      <c r="A1020">
        <v>1030</v>
      </c>
      <c r="B1020" s="2">
        <v>44118.290972222225</v>
      </c>
      <c r="C1020" s="2">
        <v>44118.590277777781</v>
      </c>
      <c r="D1020">
        <v>5</v>
      </c>
      <c r="E1020" t="s">
        <v>4</v>
      </c>
      <c r="F1020" t="s">
        <v>10</v>
      </c>
      <c r="G1020" t="s">
        <v>31</v>
      </c>
      <c r="H1020">
        <v>66</v>
      </c>
      <c r="I1020">
        <v>1.4</v>
      </c>
      <c r="J1020">
        <v>0.66</v>
      </c>
      <c r="K1020" t="s">
        <v>15</v>
      </c>
      <c r="L1020">
        <v>63</v>
      </c>
      <c r="M1020">
        <v>186</v>
      </c>
      <c r="N1020">
        <v>125</v>
      </c>
      <c r="O1020">
        <v>70</v>
      </c>
      <c r="P1020" t="s">
        <v>44</v>
      </c>
    </row>
    <row r="1021" spans="1:16" x14ac:dyDescent="0.25">
      <c r="A1021">
        <v>1031</v>
      </c>
      <c r="B1021" s="2">
        <v>44118.289583333331</v>
      </c>
      <c r="C1021" s="2">
        <v>44118.597222222219</v>
      </c>
      <c r="D1021">
        <v>2</v>
      </c>
      <c r="E1021" t="s">
        <v>4</v>
      </c>
      <c r="F1021" t="s">
        <v>3</v>
      </c>
      <c r="G1021" t="s">
        <v>28</v>
      </c>
      <c r="H1021">
        <v>72</v>
      </c>
      <c r="I1021">
        <v>8.3000000000000007</v>
      </c>
      <c r="J1021">
        <v>1.29</v>
      </c>
      <c r="K1021" t="s">
        <v>15</v>
      </c>
      <c r="L1021">
        <v>113</v>
      </c>
      <c r="M1021">
        <v>160</v>
      </c>
      <c r="N1021">
        <v>78</v>
      </c>
      <c r="O1021">
        <v>35</v>
      </c>
      <c r="P1021" t="s">
        <v>46</v>
      </c>
    </row>
    <row r="1022" spans="1:16" x14ac:dyDescent="0.25">
      <c r="A1022">
        <v>1032</v>
      </c>
      <c r="B1022" s="2">
        <v>44117.393750000003</v>
      </c>
      <c r="C1022" s="2">
        <v>44118.615972222222</v>
      </c>
      <c r="D1022">
        <v>4</v>
      </c>
      <c r="E1022" t="s">
        <v>4</v>
      </c>
      <c r="F1022" t="s">
        <v>11</v>
      </c>
      <c r="G1022" t="s">
        <v>24</v>
      </c>
      <c r="H1022">
        <v>66</v>
      </c>
      <c r="I1022">
        <v>4.4800000000000004</v>
      </c>
      <c r="J1022">
        <v>2.3199999999999998</v>
      </c>
      <c r="K1022" t="s">
        <v>15</v>
      </c>
      <c r="L1022">
        <v>92</v>
      </c>
      <c r="M1022">
        <v>170</v>
      </c>
      <c r="N1022">
        <v>105</v>
      </c>
      <c r="O1022">
        <v>61</v>
      </c>
      <c r="P1022" t="s">
        <v>44</v>
      </c>
    </row>
    <row r="1023" spans="1:16" x14ac:dyDescent="0.25">
      <c r="A1023">
        <v>1033</v>
      </c>
      <c r="B1023" s="2">
        <v>44118.67083333333</v>
      </c>
      <c r="C1023" s="2">
        <v>44119.331944444442</v>
      </c>
      <c r="D1023">
        <v>2</v>
      </c>
      <c r="E1023" t="s">
        <v>4</v>
      </c>
      <c r="F1023" t="s">
        <v>3</v>
      </c>
      <c r="G1023" t="s">
        <v>35</v>
      </c>
      <c r="H1023">
        <v>60</v>
      </c>
      <c r="I1023">
        <v>2.42</v>
      </c>
      <c r="J1023">
        <v>0.92</v>
      </c>
      <c r="K1023" t="s">
        <v>15</v>
      </c>
      <c r="L1023">
        <v>135</v>
      </c>
      <c r="M1023">
        <v>170</v>
      </c>
      <c r="N1023">
        <v>71</v>
      </c>
      <c r="O1023">
        <v>25</v>
      </c>
      <c r="P1023" t="s">
        <v>45</v>
      </c>
    </row>
    <row r="1024" spans="1:16" x14ac:dyDescent="0.25">
      <c r="A1024">
        <v>1034</v>
      </c>
      <c r="B1024" s="2">
        <v>44104.447222222225</v>
      </c>
      <c r="C1024" s="2">
        <v>44119.344444444447</v>
      </c>
      <c r="D1024">
        <v>4</v>
      </c>
      <c r="E1024" t="s">
        <v>6</v>
      </c>
      <c r="F1024" t="s">
        <v>11</v>
      </c>
      <c r="G1024" t="s">
        <v>30</v>
      </c>
      <c r="H1024">
        <v>66</v>
      </c>
      <c r="I1024">
        <v>33.74</v>
      </c>
      <c r="J1024">
        <v>19.48</v>
      </c>
      <c r="K1024" t="s">
        <v>15</v>
      </c>
      <c r="L1024">
        <v>92</v>
      </c>
      <c r="M1024">
        <v>180</v>
      </c>
      <c r="N1024">
        <v>105</v>
      </c>
      <c r="O1024">
        <v>60</v>
      </c>
      <c r="P1024" t="s">
        <v>44</v>
      </c>
    </row>
    <row r="1025" spans="1:16" x14ac:dyDescent="0.25">
      <c r="A1025">
        <v>1035</v>
      </c>
      <c r="B1025" s="2">
        <v>44117.458333333336</v>
      </c>
      <c r="C1025" s="2">
        <v>44119.350694444445</v>
      </c>
      <c r="D1025">
        <v>5</v>
      </c>
      <c r="E1025" t="s">
        <v>6</v>
      </c>
      <c r="F1025" t="s">
        <v>10</v>
      </c>
      <c r="G1025" t="s">
        <v>21</v>
      </c>
      <c r="H1025">
        <v>84</v>
      </c>
      <c r="I1025">
        <v>29.82</v>
      </c>
      <c r="J1025">
        <v>10.88</v>
      </c>
      <c r="K1025" t="s">
        <v>15</v>
      </c>
      <c r="L1025">
        <v>72</v>
      </c>
      <c r="M1025">
        <v>163</v>
      </c>
      <c r="N1025">
        <v>69</v>
      </c>
      <c r="O1025">
        <v>66</v>
      </c>
      <c r="P1025" t="s">
        <v>44</v>
      </c>
    </row>
    <row r="1026" spans="1:16" x14ac:dyDescent="0.25">
      <c r="A1026">
        <v>1036</v>
      </c>
      <c r="B1026" s="2">
        <v>44118.665277777778</v>
      </c>
      <c r="C1026" s="2">
        <v>44119.443055555559</v>
      </c>
      <c r="D1026">
        <v>6</v>
      </c>
      <c r="E1026" t="s">
        <v>4</v>
      </c>
      <c r="F1026" t="s">
        <v>3</v>
      </c>
      <c r="G1026" t="s">
        <v>23</v>
      </c>
      <c r="H1026">
        <v>75</v>
      </c>
      <c r="I1026">
        <v>4.25</v>
      </c>
      <c r="J1026">
        <v>1.39</v>
      </c>
      <c r="K1026" t="s">
        <v>15</v>
      </c>
      <c r="L1026">
        <v>74</v>
      </c>
      <c r="M1026">
        <v>173</v>
      </c>
      <c r="N1026">
        <v>104</v>
      </c>
      <c r="O1026">
        <v>50</v>
      </c>
      <c r="P1026" t="s">
        <v>46</v>
      </c>
    </row>
    <row r="1027" spans="1:16" x14ac:dyDescent="0.25">
      <c r="A1027">
        <v>1037</v>
      </c>
      <c r="B1027" s="2">
        <v>44116.534722222219</v>
      </c>
      <c r="C1027" s="2">
        <v>44119.533333333333</v>
      </c>
      <c r="D1027">
        <v>2</v>
      </c>
      <c r="E1027" t="s">
        <v>6</v>
      </c>
      <c r="F1027" t="s">
        <v>11</v>
      </c>
      <c r="G1027" t="s">
        <v>27</v>
      </c>
      <c r="H1027">
        <v>78</v>
      </c>
      <c r="I1027">
        <v>5.14</v>
      </c>
      <c r="J1027">
        <v>2.92</v>
      </c>
      <c r="K1027" t="s">
        <v>15</v>
      </c>
      <c r="L1027">
        <v>88</v>
      </c>
      <c r="M1027">
        <v>174</v>
      </c>
      <c r="N1027">
        <v>68</v>
      </c>
      <c r="O1027">
        <v>69</v>
      </c>
      <c r="P1027" t="s">
        <v>44</v>
      </c>
    </row>
    <row r="1028" spans="1:16" x14ac:dyDescent="0.25">
      <c r="A1028">
        <v>1038</v>
      </c>
      <c r="B1028" s="2">
        <v>44119.3</v>
      </c>
      <c r="C1028" s="2">
        <v>44119.609722222223</v>
      </c>
      <c r="D1028">
        <v>6</v>
      </c>
      <c r="E1028" t="s">
        <v>4</v>
      </c>
      <c r="F1028" t="s">
        <v>3</v>
      </c>
      <c r="G1028" t="s">
        <v>23</v>
      </c>
      <c r="H1028">
        <v>73</v>
      </c>
      <c r="I1028">
        <v>3.74</v>
      </c>
      <c r="J1028">
        <v>2.52</v>
      </c>
      <c r="K1028" t="s">
        <v>15</v>
      </c>
      <c r="L1028">
        <v>70</v>
      </c>
      <c r="M1028">
        <v>161</v>
      </c>
      <c r="N1028">
        <v>76</v>
      </c>
      <c r="O1028">
        <v>42</v>
      </c>
      <c r="P1028" t="s">
        <v>46</v>
      </c>
    </row>
    <row r="1029" spans="1:16" x14ac:dyDescent="0.25">
      <c r="A1029">
        <v>1039</v>
      </c>
      <c r="B1029" s="2">
        <v>44119.292361111111</v>
      </c>
      <c r="C1029" s="2">
        <v>44119.676388888889</v>
      </c>
      <c r="D1029">
        <v>5</v>
      </c>
      <c r="E1029" t="s">
        <v>4</v>
      </c>
      <c r="F1029" t="s">
        <v>3</v>
      </c>
      <c r="G1029" t="s">
        <v>21</v>
      </c>
      <c r="H1029">
        <v>44</v>
      </c>
      <c r="I1029">
        <v>1.33</v>
      </c>
      <c r="J1029">
        <v>0.76</v>
      </c>
      <c r="K1029" t="s">
        <v>15</v>
      </c>
      <c r="L1029">
        <v>73</v>
      </c>
      <c r="M1029">
        <v>174</v>
      </c>
      <c r="N1029">
        <v>81</v>
      </c>
      <c r="O1029">
        <v>55</v>
      </c>
      <c r="P1029" t="s">
        <v>44</v>
      </c>
    </row>
    <row r="1030" spans="1:16" x14ac:dyDescent="0.25">
      <c r="A1030">
        <v>1040</v>
      </c>
      <c r="B1030" s="2">
        <v>44113.416666666664</v>
      </c>
      <c r="C1030" s="2">
        <v>44120.331250000003</v>
      </c>
      <c r="D1030">
        <v>2</v>
      </c>
      <c r="E1030" t="s">
        <v>6</v>
      </c>
      <c r="F1030" t="s">
        <v>10</v>
      </c>
      <c r="G1030" t="s">
        <v>31</v>
      </c>
      <c r="H1030">
        <v>79</v>
      </c>
      <c r="I1030">
        <v>8.6999999999999993</v>
      </c>
      <c r="J1030">
        <v>2.46</v>
      </c>
      <c r="K1030" t="s">
        <v>15</v>
      </c>
      <c r="L1030">
        <v>129</v>
      </c>
      <c r="M1030">
        <v>161</v>
      </c>
      <c r="N1030">
        <v>58</v>
      </c>
      <c r="O1030">
        <v>60</v>
      </c>
      <c r="P1030" t="s">
        <v>44</v>
      </c>
    </row>
    <row r="1031" spans="1:16" x14ac:dyDescent="0.25">
      <c r="A1031">
        <v>1041</v>
      </c>
      <c r="B1031" s="2">
        <v>44119.580555555556</v>
      </c>
      <c r="C1031" s="2">
        <v>44120.333333333336</v>
      </c>
      <c r="D1031">
        <v>4</v>
      </c>
      <c r="E1031" t="s">
        <v>4</v>
      </c>
      <c r="F1031" t="s">
        <v>10</v>
      </c>
      <c r="G1031" t="s">
        <v>24</v>
      </c>
      <c r="H1031">
        <v>72</v>
      </c>
      <c r="I1031">
        <v>2.0699999999999998</v>
      </c>
      <c r="J1031">
        <v>0.78</v>
      </c>
      <c r="K1031" t="s">
        <v>15</v>
      </c>
      <c r="L1031">
        <v>67</v>
      </c>
      <c r="M1031">
        <v>154</v>
      </c>
      <c r="N1031">
        <v>77</v>
      </c>
      <c r="O1031">
        <v>20</v>
      </c>
      <c r="P1031" t="s">
        <v>47</v>
      </c>
    </row>
    <row r="1032" spans="1:16" x14ac:dyDescent="0.25">
      <c r="A1032">
        <v>1042</v>
      </c>
      <c r="B1032" s="2">
        <v>44119.662499999999</v>
      </c>
      <c r="C1032" s="2">
        <v>44120.336111111108</v>
      </c>
      <c r="D1032">
        <v>5</v>
      </c>
      <c r="E1032" t="s">
        <v>4</v>
      </c>
      <c r="F1032" t="s">
        <v>11</v>
      </c>
      <c r="G1032" t="s">
        <v>21</v>
      </c>
      <c r="H1032">
        <v>75</v>
      </c>
      <c r="I1032">
        <v>16.02</v>
      </c>
      <c r="J1032">
        <v>10.4</v>
      </c>
      <c r="K1032" t="s">
        <v>15</v>
      </c>
      <c r="L1032">
        <v>95</v>
      </c>
      <c r="M1032">
        <v>162</v>
      </c>
      <c r="N1032">
        <v>126</v>
      </c>
      <c r="O1032">
        <v>45</v>
      </c>
      <c r="P1032" t="s">
        <v>46</v>
      </c>
    </row>
    <row r="1033" spans="1:16" x14ac:dyDescent="0.25">
      <c r="A1033">
        <v>1043</v>
      </c>
      <c r="B1033" s="2">
        <v>44118.45208333333</v>
      </c>
      <c r="C1033" s="2">
        <v>44120.336805555555</v>
      </c>
      <c r="D1033">
        <v>6</v>
      </c>
      <c r="E1033" t="s">
        <v>6</v>
      </c>
      <c r="F1033" t="s">
        <v>10</v>
      </c>
      <c r="G1033" t="s">
        <v>27</v>
      </c>
      <c r="H1033">
        <v>72</v>
      </c>
      <c r="I1033">
        <v>3.52</v>
      </c>
      <c r="J1033">
        <v>1.1200000000000001</v>
      </c>
      <c r="K1033" t="s">
        <v>15</v>
      </c>
      <c r="L1033">
        <v>146</v>
      </c>
      <c r="M1033">
        <v>181</v>
      </c>
      <c r="N1033">
        <v>88</v>
      </c>
      <c r="O1033">
        <v>50</v>
      </c>
      <c r="P1033" t="s">
        <v>46</v>
      </c>
    </row>
    <row r="1034" spans="1:16" x14ac:dyDescent="0.25">
      <c r="A1034">
        <v>1044</v>
      </c>
      <c r="B1034" s="2">
        <v>44120.306250000001</v>
      </c>
      <c r="C1034" s="2">
        <v>44120.505555555559</v>
      </c>
      <c r="D1034">
        <v>2</v>
      </c>
      <c r="E1034" t="s">
        <v>4</v>
      </c>
      <c r="F1034" t="s">
        <v>10</v>
      </c>
      <c r="G1034" t="s">
        <v>31</v>
      </c>
      <c r="H1034">
        <v>75</v>
      </c>
      <c r="I1034">
        <v>3.47</v>
      </c>
      <c r="J1034">
        <v>1.28</v>
      </c>
      <c r="K1034" t="s">
        <v>15</v>
      </c>
      <c r="L1034">
        <v>74</v>
      </c>
      <c r="M1034">
        <v>164</v>
      </c>
      <c r="N1034">
        <v>66</v>
      </c>
      <c r="O1034">
        <v>40</v>
      </c>
      <c r="P1034" t="s">
        <v>46</v>
      </c>
    </row>
    <row r="1035" spans="1:16" x14ac:dyDescent="0.25">
      <c r="A1035">
        <v>1045</v>
      </c>
      <c r="B1035" s="2">
        <v>44120.304166666669</v>
      </c>
      <c r="C1035" s="2">
        <v>44120.565972222219</v>
      </c>
      <c r="D1035">
        <v>4</v>
      </c>
      <c r="E1035" t="s">
        <v>4</v>
      </c>
      <c r="F1035" t="s">
        <v>10</v>
      </c>
      <c r="G1035" t="s">
        <v>24</v>
      </c>
      <c r="H1035">
        <v>73</v>
      </c>
      <c r="I1035">
        <v>3.32</v>
      </c>
      <c r="J1035">
        <v>6.08</v>
      </c>
      <c r="K1035" t="s">
        <v>15</v>
      </c>
      <c r="L1035">
        <v>84</v>
      </c>
      <c r="M1035">
        <v>184</v>
      </c>
      <c r="N1035">
        <v>90</v>
      </c>
      <c r="O1035">
        <v>55</v>
      </c>
      <c r="P1035" t="s">
        <v>44</v>
      </c>
    </row>
    <row r="1036" spans="1:16" x14ac:dyDescent="0.25">
      <c r="A1036">
        <v>1046</v>
      </c>
      <c r="B1036" s="2">
        <v>44119.290277777778</v>
      </c>
      <c r="C1036" s="2">
        <v>44120.623611111114</v>
      </c>
      <c r="D1036">
        <v>6</v>
      </c>
      <c r="E1036" t="s">
        <v>4</v>
      </c>
      <c r="F1036" t="s">
        <v>11</v>
      </c>
      <c r="G1036" t="s">
        <v>30</v>
      </c>
      <c r="H1036">
        <v>73</v>
      </c>
      <c r="I1036">
        <v>3.74</v>
      </c>
      <c r="J1036">
        <v>1.67</v>
      </c>
      <c r="K1036" t="s">
        <v>15</v>
      </c>
      <c r="L1036">
        <v>108</v>
      </c>
      <c r="M1036">
        <v>154</v>
      </c>
      <c r="N1036">
        <v>85</v>
      </c>
      <c r="O1036">
        <v>60</v>
      </c>
      <c r="P1036" t="s">
        <v>44</v>
      </c>
    </row>
    <row r="1037" spans="1:16" x14ac:dyDescent="0.25">
      <c r="A1037">
        <v>1047</v>
      </c>
      <c r="B1037" s="2">
        <v>44120.587500000001</v>
      </c>
      <c r="C1037" s="2">
        <v>44121.340277777781</v>
      </c>
      <c r="D1037">
        <v>5</v>
      </c>
      <c r="E1037" t="s">
        <v>4</v>
      </c>
      <c r="F1037" t="s">
        <v>3</v>
      </c>
      <c r="G1037" t="s">
        <v>23</v>
      </c>
      <c r="H1037">
        <v>72</v>
      </c>
      <c r="I1037">
        <v>4.8099999999999996</v>
      </c>
      <c r="J1037">
        <v>0.88</v>
      </c>
      <c r="K1037" t="s">
        <v>15</v>
      </c>
      <c r="L1037">
        <v>105</v>
      </c>
      <c r="M1037">
        <v>175</v>
      </c>
      <c r="N1037">
        <v>94</v>
      </c>
      <c r="O1037">
        <v>50</v>
      </c>
      <c r="P1037" t="s">
        <v>46</v>
      </c>
    </row>
    <row r="1038" spans="1:16" x14ac:dyDescent="0.25">
      <c r="A1038">
        <v>1048</v>
      </c>
      <c r="B1038" s="2">
        <v>44120.666666666664</v>
      </c>
      <c r="C1038" s="2">
        <v>44121.340277777781</v>
      </c>
      <c r="D1038">
        <v>4</v>
      </c>
      <c r="E1038" t="s">
        <v>4</v>
      </c>
      <c r="F1038" t="s">
        <v>3</v>
      </c>
      <c r="G1038" t="s">
        <v>30</v>
      </c>
      <c r="H1038">
        <v>74</v>
      </c>
      <c r="I1038">
        <v>5.46</v>
      </c>
      <c r="J1038">
        <v>1.25</v>
      </c>
      <c r="K1038" t="s">
        <v>15</v>
      </c>
      <c r="L1038">
        <v>77</v>
      </c>
      <c r="M1038">
        <v>169</v>
      </c>
      <c r="N1038">
        <v>59</v>
      </c>
      <c r="O1038">
        <v>28</v>
      </c>
      <c r="P1038" t="s">
        <v>45</v>
      </c>
    </row>
    <row r="1039" spans="1:16" x14ac:dyDescent="0.25">
      <c r="A1039">
        <v>1049</v>
      </c>
      <c r="B1039" s="2">
        <v>44120.416666666664</v>
      </c>
      <c r="C1039" s="2">
        <v>44121.475694444445</v>
      </c>
      <c r="D1039">
        <v>4</v>
      </c>
      <c r="E1039" t="s">
        <v>4</v>
      </c>
      <c r="F1039" t="s">
        <v>10</v>
      </c>
      <c r="G1039" t="s">
        <v>30</v>
      </c>
      <c r="H1039">
        <v>83</v>
      </c>
      <c r="I1039">
        <v>6.27</v>
      </c>
      <c r="J1039">
        <v>4.3099999999999996</v>
      </c>
      <c r="K1039" t="s">
        <v>15</v>
      </c>
      <c r="L1039">
        <v>93</v>
      </c>
      <c r="M1039">
        <v>164</v>
      </c>
      <c r="N1039">
        <v>70</v>
      </c>
      <c r="O1039">
        <v>11</v>
      </c>
      <c r="P1039" t="s">
        <v>47</v>
      </c>
    </row>
    <row r="1040" spans="1:16" x14ac:dyDescent="0.25">
      <c r="A1040">
        <v>1050</v>
      </c>
      <c r="B1040" s="2">
        <v>44120.580555555556</v>
      </c>
      <c r="C1040" s="2">
        <v>44121.493055555555</v>
      </c>
      <c r="D1040">
        <v>5</v>
      </c>
      <c r="E1040" t="s">
        <v>4</v>
      </c>
      <c r="F1040" t="s">
        <v>10</v>
      </c>
      <c r="G1040" t="s">
        <v>23</v>
      </c>
      <c r="H1040">
        <v>62</v>
      </c>
      <c r="I1040">
        <v>2.0499999999999998</v>
      </c>
      <c r="J1040">
        <v>1.43</v>
      </c>
      <c r="K1040" t="s">
        <v>15</v>
      </c>
      <c r="L1040">
        <v>79</v>
      </c>
      <c r="M1040">
        <v>181</v>
      </c>
      <c r="N1040">
        <v>85</v>
      </c>
      <c r="O1040">
        <v>40</v>
      </c>
      <c r="P1040" t="s">
        <v>46</v>
      </c>
    </row>
    <row r="1041" spans="1:16" x14ac:dyDescent="0.25">
      <c r="A1041">
        <v>1051</v>
      </c>
      <c r="B1041" s="2">
        <v>44122.945833333331</v>
      </c>
      <c r="C1041" s="2">
        <v>44123.021527777775</v>
      </c>
      <c r="D1041">
        <v>2</v>
      </c>
      <c r="E1041" t="s">
        <v>2</v>
      </c>
      <c r="F1041" t="s">
        <v>1</v>
      </c>
      <c r="G1041" t="s">
        <v>23</v>
      </c>
      <c r="H1041">
        <v>78</v>
      </c>
      <c r="I1041">
        <v>32.92</v>
      </c>
      <c r="J1041">
        <v>9.67</v>
      </c>
      <c r="K1041" t="s">
        <v>13</v>
      </c>
      <c r="L1041">
        <v>87</v>
      </c>
      <c r="M1041">
        <v>165</v>
      </c>
      <c r="N1041">
        <v>80</v>
      </c>
      <c r="O1041">
        <v>58</v>
      </c>
      <c r="P1041" t="s">
        <v>44</v>
      </c>
    </row>
    <row r="1042" spans="1:16" x14ac:dyDescent="0.25">
      <c r="A1042">
        <v>1052</v>
      </c>
      <c r="B1042" s="2">
        <v>44122.660416666666</v>
      </c>
      <c r="C1042" s="2">
        <v>44123.341666666667</v>
      </c>
      <c r="D1042">
        <v>4</v>
      </c>
      <c r="E1042" t="s">
        <v>4</v>
      </c>
      <c r="F1042" t="s">
        <v>3</v>
      </c>
      <c r="G1042" t="s">
        <v>29</v>
      </c>
      <c r="H1042">
        <v>78</v>
      </c>
      <c r="I1042">
        <v>12.87</v>
      </c>
      <c r="J1042">
        <v>3.35</v>
      </c>
      <c r="K1042" t="s">
        <v>15</v>
      </c>
      <c r="L1042">
        <v>76</v>
      </c>
      <c r="M1042">
        <v>155</v>
      </c>
      <c r="N1042">
        <v>62</v>
      </c>
      <c r="O1042">
        <v>42</v>
      </c>
      <c r="P1042" t="s">
        <v>46</v>
      </c>
    </row>
    <row r="1043" spans="1:16" x14ac:dyDescent="0.25">
      <c r="A1043">
        <v>1053</v>
      </c>
      <c r="B1043" s="2">
        <v>44122.458333333336</v>
      </c>
      <c r="C1043" s="2">
        <v>44123.343055555553</v>
      </c>
      <c r="D1043">
        <v>5</v>
      </c>
      <c r="E1043" t="s">
        <v>4</v>
      </c>
      <c r="F1043" t="s">
        <v>3</v>
      </c>
      <c r="G1043" t="s">
        <v>31</v>
      </c>
      <c r="H1043">
        <v>65</v>
      </c>
      <c r="I1043">
        <v>4.21</v>
      </c>
      <c r="J1043">
        <v>1.32</v>
      </c>
      <c r="K1043" t="s">
        <v>15</v>
      </c>
      <c r="L1043">
        <v>122</v>
      </c>
      <c r="M1043">
        <v>181</v>
      </c>
      <c r="N1043">
        <v>106</v>
      </c>
      <c r="O1043">
        <v>62</v>
      </c>
      <c r="P1043" t="s">
        <v>44</v>
      </c>
    </row>
    <row r="1044" spans="1:16" x14ac:dyDescent="0.25">
      <c r="A1044">
        <v>1054</v>
      </c>
      <c r="B1044" s="2">
        <v>44113.593055555553</v>
      </c>
      <c r="C1044" s="2">
        <v>44123.347222222219</v>
      </c>
      <c r="D1044">
        <v>6</v>
      </c>
      <c r="E1044" t="s">
        <v>6</v>
      </c>
      <c r="F1044" t="s">
        <v>10</v>
      </c>
      <c r="G1044" t="s">
        <v>24</v>
      </c>
      <c r="H1044">
        <v>83</v>
      </c>
      <c r="I1044">
        <v>51.96</v>
      </c>
      <c r="J1044">
        <v>50.06</v>
      </c>
      <c r="K1044" t="s">
        <v>15</v>
      </c>
      <c r="L1044">
        <v>79</v>
      </c>
      <c r="M1044">
        <v>173</v>
      </c>
      <c r="N1044">
        <v>66</v>
      </c>
      <c r="O1044">
        <v>66</v>
      </c>
      <c r="P1044" t="s">
        <v>44</v>
      </c>
    </row>
    <row r="1045" spans="1:16" x14ac:dyDescent="0.25">
      <c r="A1045">
        <v>1055</v>
      </c>
      <c r="B1045" s="2">
        <v>44123.427083333336</v>
      </c>
      <c r="C1045" s="2">
        <v>44123.51666666667</v>
      </c>
      <c r="D1045">
        <v>2</v>
      </c>
      <c r="E1045" t="s">
        <v>2</v>
      </c>
      <c r="F1045" t="s">
        <v>1</v>
      </c>
      <c r="G1045" t="s">
        <v>31</v>
      </c>
      <c r="H1045">
        <v>51</v>
      </c>
      <c r="I1045">
        <v>9.0399999999999991</v>
      </c>
      <c r="J1045">
        <v>4.05</v>
      </c>
      <c r="K1045" t="s">
        <v>15</v>
      </c>
      <c r="L1045">
        <v>89</v>
      </c>
      <c r="M1045">
        <v>177</v>
      </c>
      <c r="N1045">
        <v>120</v>
      </c>
      <c r="O1045">
        <v>55</v>
      </c>
      <c r="P1045" t="s">
        <v>44</v>
      </c>
    </row>
    <row r="1046" spans="1:16" x14ac:dyDescent="0.25">
      <c r="A1046">
        <v>1056</v>
      </c>
      <c r="B1046" s="2">
        <v>44123.291666666664</v>
      </c>
      <c r="C1046" s="2">
        <v>44123.647916666669</v>
      </c>
      <c r="D1046">
        <v>4</v>
      </c>
      <c r="E1046" t="s">
        <v>4</v>
      </c>
      <c r="F1046" t="s">
        <v>3</v>
      </c>
      <c r="G1046" t="s">
        <v>29</v>
      </c>
      <c r="H1046">
        <v>37</v>
      </c>
      <c r="I1046">
        <v>2.27</v>
      </c>
      <c r="J1046">
        <v>0.76</v>
      </c>
      <c r="K1046" t="s">
        <v>15</v>
      </c>
      <c r="L1046">
        <v>87</v>
      </c>
      <c r="M1046">
        <v>162</v>
      </c>
      <c r="N1046">
        <v>70</v>
      </c>
      <c r="O1046">
        <v>45</v>
      </c>
      <c r="P1046" t="s">
        <v>46</v>
      </c>
    </row>
    <row r="1047" spans="1:16" x14ac:dyDescent="0.25">
      <c r="A1047">
        <v>1057</v>
      </c>
      <c r="B1047" s="2">
        <v>44123.661111111112</v>
      </c>
      <c r="C1047" s="2">
        <v>44124.333333333336</v>
      </c>
      <c r="D1047">
        <v>5</v>
      </c>
      <c r="E1047" t="s">
        <v>4</v>
      </c>
      <c r="F1047" t="s">
        <v>3</v>
      </c>
      <c r="G1047" t="s">
        <v>26</v>
      </c>
      <c r="H1047">
        <v>70</v>
      </c>
      <c r="I1047">
        <v>3.08</v>
      </c>
      <c r="J1047">
        <v>2.31</v>
      </c>
      <c r="K1047" t="s">
        <v>15</v>
      </c>
      <c r="L1047">
        <v>61</v>
      </c>
      <c r="M1047">
        <v>167</v>
      </c>
      <c r="N1047">
        <v>75</v>
      </c>
      <c r="O1047">
        <v>50</v>
      </c>
      <c r="P1047" t="s">
        <v>46</v>
      </c>
    </row>
    <row r="1048" spans="1:16" x14ac:dyDescent="0.25">
      <c r="A1048">
        <v>1058</v>
      </c>
      <c r="B1048" s="2">
        <v>44123.018750000003</v>
      </c>
      <c r="C1048" s="2">
        <v>44124.338888888888</v>
      </c>
      <c r="D1048">
        <v>4</v>
      </c>
      <c r="E1048" t="s">
        <v>6</v>
      </c>
      <c r="F1048" t="s">
        <v>11</v>
      </c>
      <c r="G1048" t="s">
        <v>35</v>
      </c>
      <c r="H1048">
        <v>61</v>
      </c>
      <c r="I1048">
        <v>1.72</v>
      </c>
      <c r="J1048">
        <v>1.22</v>
      </c>
      <c r="K1048" t="s">
        <v>15</v>
      </c>
      <c r="L1048">
        <v>73</v>
      </c>
      <c r="M1048">
        <v>172</v>
      </c>
      <c r="N1048">
        <v>87</v>
      </c>
      <c r="O1048">
        <v>25</v>
      </c>
      <c r="P1048" t="s">
        <v>45</v>
      </c>
    </row>
    <row r="1049" spans="1:16" x14ac:dyDescent="0.25">
      <c r="A1049">
        <v>1059</v>
      </c>
      <c r="B1049" s="2">
        <v>44123.666666666664</v>
      </c>
      <c r="C1049" s="2">
        <v>44124.34375</v>
      </c>
      <c r="D1049">
        <v>2</v>
      </c>
      <c r="E1049" t="s">
        <v>4</v>
      </c>
      <c r="F1049" t="s">
        <v>3</v>
      </c>
      <c r="G1049" t="s">
        <v>28</v>
      </c>
      <c r="H1049">
        <v>75</v>
      </c>
      <c r="I1049">
        <v>12.28</v>
      </c>
      <c r="J1049">
        <v>4.46</v>
      </c>
      <c r="K1049" t="s">
        <v>15</v>
      </c>
      <c r="L1049">
        <v>140</v>
      </c>
      <c r="M1049">
        <v>161</v>
      </c>
      <c r="N1049">
        <v>102</v>
      </c>
      <c r="O1049">
        <v>45</v>
      </c>
      <c r="P1049" t="s">
        <v>46</v>
      </c>
    </row>
    <row r="1050" spans="1:16" x14ac:dyDescent="0.25">
      <c r="A1050">
        <v>1060</v>
      </c>
      <c r="B1050" s="2">
        <v>44115.5</v>
      </c>
      <c r="C1050" s="2">
        <v>44124.34375</v>
      </c>
      <c r="D1050">
        <v>6</v>
      </c>
      <c r="E1050" t="s">
        <v>6</v>
      </c>
      <c r="F1050" t="s">
        <v>11</v>
      </c>
      <c r="G1050" t="s">
        <v>29</v>
      </c>
      <c r="H1050">
        <v>58</v>
      </c>
      <c r="I1050">
        <v>2.08</v>
      </c>
      <c r="J1050">
        <v>2.46</v>
      </c>
      <c r="K1050" t="s">
        <v>15</v>
      </c>
      <c r="L1050">
        <v>78</v>
      </c>
      <c r="M1050">
        <v>155</v>
      </c>
      <c r="N1050">
        <v>84</v>
      </c>
      <c r="O1050">
        <v>61</v>
      </c>
      <c r="P1050" t="s">
        <v>44</v>
      </c>
    </row>
    <row r="1051" spans="1:16" x14ac:dyDescent="0.25">
      <c r="A1051">
        <v>1061</v>
      </c>
      <c r="B1051" s="2">
        <v>44123.291666666664</v>
      </c>
      <c r="C1051" s="2">
        <v>44124.508333333331</v>
      </c>
      <c r="D1051">
        <v>5</v>
      </c>
      <c r="E1051" t="s">
        <v>4</v>
      </c>
      <c r="F1051" t="s">
        <v>11</v>
      </c>
      <c r="G1051" t="s">
        <v>26</v>
      </c>
      <c r="H1051">
        <v>66</v>
      </c>
      <c r="I1051">
        <v>2.38</v>
      </c>
      <c r="J1051">
        <v>2.0699999999999998</v>
      </c>
      <c r="K1051" t="s">
        <v>15</v>
      </c>
      <c r="L1051">
        <v>67</v>
      </c>
      <c r="M1051">
        <v>172</v>
      </c>
      <c r="N1051">
        <v>123</v>
      </c>
      <c r="O1051">
        <v>43</v>
      </c>
      <c r="P1051" t="s">
        <v>46</v>
      </c>
    </row>
    <row r="1052" spans="1:16" x14ac:dyDescent="0.25">
      <c r="A1052">
        <v>1062</v>
      </c>
      <c r="B1052" s="2">
        <v>44124.291666666664</v>
      </c>
      <c r="C1052" s="2">
        <v>44124.625</v>
      </c>
      <c r="D1052">
        <v>2</v>
      </c>
      <c r="E1052" t="s">
        <v>4</v>
      </c>
      <c r="F1052" t="s">
        <v>1</v>
      </c>
      <c r="G1052" t="s">
        <v>28</v>
      </c>
      <c r="H1052">
        <v>69</v>
      </c>
      <c r="I1052">
        <v>16.73</v>
      </c>
      <c r="J1052">
        <v>7.02</v>
      </c>
      <c r="K1052" t="s">
        <v>15</v>
      </c>
      <c r="L1052">
        <v>73</v>
      </c>
      <c r="M1052">
        <v>165</v>
      </c>
      <c r="N1052">
        <v>68</v>
      </c>
      <c r="O1052">
        <v>55</v>
      </c>
      <c r="P1052" t="s">
        <v>44</v>
      </c>
    </row>
    <row r="1053" spans="1:16" x14ac:dyDescent="0.25">
      <c r="A1053">
        <v>1063</v>
      </c>
      <c r="B1053" s="2">
        <v>44123.663888888892</v>
      </c>
      <c r="C1053" s="2">
        <v>44124.6875</v>
      </c>
      <c r="D1053">
        <v>4</v>
      </c>
      <c r="E1053" t="s">
        <v>4</v>
      </c>
      <c r="F1053" t="s">
        <v>3</v>
      </c>
      <c r="G1053" t="s">
        <v>35</v>
      </c>
      <c r="H1053">
        <v>51</v>
      </c>
      <c r="I1053">
        <v>1.51</v>
      </c>
      <c r="J1053">
        <v>0.67</v>
      </c>
      <c r="K1053" t="s">
        <v>15</v>
      </c>
      <c r="L1053">
        <v>61</v>
      </c>
      <c r="M1053">
        <v>170</v>
      </c>
      <c r="N1053">
        <v>101</v>
      </c>
      <c r="O1053">
        <v>66</v>
      </c>
      <c r="P1053" t="s">
        <v>44</v>
      </c>
    </row>
    <row r="1054" spans="1:16" x14ac:dyDescent="0.25">
      <c r="A1054">
        <v>1064</v>
      </c>
      <c r="B1054" s="2">
        <v>44116.416666666664</v>
      </c>
      <c r="C1054" s="2">
        <v>44125.342361111114</v>
      </c>
      <c r="D1054">
        <v>5</v>
      </c>
      <c r="E1054" t="s">
        <v>6</v>
      </c>
      <c r="F1054" t="s">
        <v>10</v>
      </c>
      <c r="G1054" t="s">
        <v>31</v>
      </c>
      <c r="H1054">
        <v>71</v>
      </c>
      <c r="I1054">
        <v>4.54</v>
      </c>
      <c r="J1054">
        <v>1.82</v>
      </c>
      <c r="K1054" t="s">
        <v>15</v>
      </c>
      <c r="L1054">
        <v>66</v>
      </c>
      <c r="M1054">
        <v>169</v>
      </c>
      <c r="N1054">
        <v>82</v>
      </c>
      <c r="O1054">
        <v>55</v>
      </c>
      <c r="P1054" t="s">
        <v>44</v>
      </c>
    </row>
    <row r="1055" spans="1:16" x14ac:dyDescent="0.25">
      <c r="A1055">
        <v>1065</v>
      </c>
      <c r="B1055" s="2">
        <v>44112.604166666664</v>
      </c>
      <c r="C1055" s="2">
        <v>44125.342361111114</v>
      </c>
      <c r="D1055">
        <v>4</v>
      </c>
      <c r="E1055" t="s">
        <v>6</v>
      </c>
      <c r="F1055" t="s">
        <v>11</v>
      </c>
      <c r="G1055" t="s">
        <v>24</v>
      </c>
      <c r="H1055">
        <v>75</v>
      </c>
      <c r="I1055">
        <v>10.44</v>
      </c>
      <c r="J1055">
        <v>3.79</v>
      </c>
      <c r="K1055" t="s">
        <v>15</v>
      </c>
      <c r="L1055">
        <v>103</v>
      </c>
      <c r="M1055">
        <v>174</v>
      </c>
      <c r="N1055">
        <v>74</v>
      </c>
      <c r="O1055">
        <v>52</v>
      </c>
      <c r="P1055" t="s">
        <v>44</v>
      </c>
    </row>
    <row r="1056" spans="1:16" x14ac:dyDescent="0.25">
      <c r="A1056">
        <v>1066</v>
      </c>
      <c r="B1056" s="2">
        <v>44125.286805555559</v>
      </c>
      <c r="C1056" s="2">
        <v>44125.42291666667</v>
      </c>
      <c r="D1056">
        <v>2</v>
      </c>
      <c r="E1056" t="s">
        <v>2</v>
      </c>
      <c r="F1056" t="s">
        <v>10</v>
      </c>
      <c r="G1056" t="s">
        <v>28</v>
      </c>
      <c r="H1056">
        <v>74</v>
      </c>
      <c r="I1056">
        <v>38.6</v>
      </c>
      <c r="J1056">
        <v>12.83</v>
      </c>
      <c r="K1056" t="s">
        <v>15</v>
      </c>
      <c r="L1056">
        <v>110</v>
      </c>
      <c r="M1056">
        <v>172</v>
      </c>
      <c r="N1056">
        <v>127</v>
      </c>
      <c r="O1056">
        <v>58</v>
      </c>
      <c r="P1056" t="s">
        <v>44</v>
      </c>
    </row>
    <row r="1057" spans="1:16" x14ac:dyDescent="0.25">
      <c r="A1057">
        <v>1067</v>
      </c>
      <c r="B1057" s="2">
        <v>44118.479166666664</v>
      </c>
      <c r="C1057" s="2">
        <v>44125.472916666666</v>
      </c>
      <c r="D1057">
        <v>6</v>
      </c>
      <c r="E1057" t="s">
        <v>6</v>
      </c>
      <c r="F1057" t="s">
        <v>10</v>
      </c>
      <c r="G1057" t="s">
        <v>30</v>
      </c>
      <c r="H1057">
        <v>74</v>
      </c>
      <c r="I1057">
        <v>6.69</v>
      </c>
      <c r="J1057">
        <v>4.08</v>
      </c>
      <c r="K1057" t="s">
        <v>15</v>
      </c>
      <c r="L1057">
        <v>86</v>
      </c>
      <c r="M1057">
        <v>180</v>
      </c>
      <c r="N1057">
        <v>100</v>
      </c>
      <c r="O1057">
        <v>60</v>
      </c>
      <c r="P1057" t="s">
        <v>44</v>
      </c>
    </row>
    <row r="1058" spans="1:16" x14ac:dyDescent="0.25">
      <c r="A1058">
        <v>1068</v>
      </c>
      <c r="B1058" s="2">
        <v>44125.390277777777</v>
      </c>
      <c r="C1058" s="2">
        <v>44125.508333333331</v>
      </c>
      <c r="D1058">
        <v>1</v>
      </c>
      <c r="E1058" t="s">
        <v>2</v>
      </c>
      <c r="F1058" t="s">
        <v>10</v>
      </c>
      <c r="G1058" t="s">
        <v>21</v>
      </c>
      <c r="H1058">
        <v>72</v>
      </c>
      <c r="I1058">
        <v>33.07</v>
      </c>
      <c r="J1058">
        <v>10.5</v>
      </c>
      <c r="K1058" t="s">
        <v>13</v>
      </c>
      <c r="L1058">
        <v>121</v>
      </c>
      <c r="M1058">
        <v>170</v>
      </c>
      <c r="N1058">
        <v>68</v>
      </c>
      <c r="O1058">
        <v>58</v>
      </c>
      <c r="P1058" t="s">
        <v>44</v>
      </c>
    </row>
    <row r="1059" spans="1:16" x14ac:dyDescent="0.25">
      <c r="A1059">
        <v>1069</v>
      </c>
      <c r="B1059" s="2">
        <v>44125.291666666664</v>
      </c>
      <c r="C1059" s="2">
        <v>44125.572916666664</v>
      </c>
      <c r="D1059">
        <v>5</v>
      </c>
      <c r="E1059" t="s">
        <v>4</v>
      </c>
      <c r="F1059" t="s">
        <v>10</v>
      </c>
      <c r="G1059" t="s">
        <v>31</v>
      </c>
      <c r="H1059">
        <v>56</v>
      </c>
      <c r="I1059">
        <v>1.33</v>
      </c>
      <c r="J1059">
        <v>0.76</v>
      </c>
      <c r="K1059" t="s">
        <v>15</v>
      </c>
      <c r="L1059">
        <v>78</v>
      </c>
      <c r="M1059">
        <v>166</v>
      </c>
      <c r="N1059">
        <v>97</v>
      </c>
      <c r="O1059">
        <v>45</v>
      </c>
      <c r="P1059" t="s">
        <v>46</v>
      </c>
    </row>
    <row r="1060" spans="1:16" x14ac:dyDescent="0.25">
      <c r="A1060">
        <v>1070</v>
      </c>
      <c r="B1060" s="2">
        <v>44124.622916666667</v>
      </c>
      <c r="C1060" s="2">
        <v>44125.646527777775</v>
      </c>
      <c r="D1060">
        <v>4</v>
      </c>
      <c r="E1060" t="s">
        <v>4</v>
      </c>
      <c r="F1060" t="s">
        <v>10</v>
      </c>
      <c r="G1060" t="s">
        <v>24</v>
      </c>
      <c r="H1060">
        <v>71</v>
      </c>
      <c r="I1060">
        <v>1.94</v>
      </c>
      <c r="J1060">
        <v>1.03</v>
      </c>
      <c r="K1060" t="s">
        <v>15</v>
      </c>
      <c r="L1060">
        <v>90</v>
      </c>
      <c r="M1060">
        <v>174</v>
      </c>
      <c r="N1060">
        <v>73</v>
      </c>
      <c r="O1060">
        <v>60</v>
      </c>
      <c r="P1060" t="s">
        <v>44</v>
      </c>
    </row>
    <row r="1061" spans="1:16" x14ac:dyDescent="0.25">
      <c r="A1061">
        <v>1071</v>
      </c>
      <c r="B1061" s="2">
        <v>44120.5</v>
      </c>
      <c r="C1061" s="2">
        <v>44126.339583333334</v>
      </c>
      <c r="D1061">
        <v>3</v>
      </c>
      <c r="E1061" t="s">
        <v>6</v>
      </c>
      <c r="F1061" t="s">
        <v>3</v>
      </c>
      <c r="G1061" t="s">
        <v>33</v>
      </c>
      <c r="H1061">
        <v>74</v>
      </c>
      <c r="I1061">
        <v>16.559999999999999</v>
      </c>
      <c r="J1061">
        <v>6.02</v>
      </c>
      <c r="K1061" t="s">
        <v>15</v>
      </c>
      <c r="L1061">
        <v>132</v>
      </c>
      <c r="M1061">
        <v>168</v>
      </c>
      <c r="N1061">
        <v>109</v>
      </c>
      <c r="O1061">
        <v>60</v>
      </c>
      <c r="P1061" t="s">
        <v>44</v>
      </c>
    </row>
    <row r="1062" spans="1:16" x14ac:dyDescent="0.25">
      <c r="A1062">
        <v>1072</v>
      </c>
      <c r="B1062" s="2">
        <v>44122.67083333333</v>
      </c>
      <c r="C1062" s="2">
        <v>44126.340277777781</v>
      </c>
      <c r="D1062">
        <v>6</v>
      </c>
      <c r="E1062" t="s">
        <v>4</v>
      </c>
      <c r="F1062" t="s">
        <v>1</v>
      </c>
      <c r="G1062" t="s">
        <v>23</v>
      </c>
      <c r="H1062">
        <v>71</v>
      </c>
      <c r="I1062">
        <v>31.01</v>
      </c>
      <c r="J1062">
        <v>8.76</v>
      </c>
      <c r="K1062" t="s">
        <v>15</v>
      </c>
      <c r="L1062">
        <v>93</v>
      </c>
      <c r="M1062">
        <v>163</v>
      </c>
      <c r="N1062">
        <v>73</v>
      </c>
      <c r="O1062">
        <v>45</v>
      </c>
      <c r="P1062" t="s">
        <v>46</v>
      </c>
    </row>
    <row r="1063" spans="1:16" x14ac:dyDescent="0.25">
      <c r="A1063">
        <v>1073</v>
      </c>
      <c r="B1063" s="2">
        <v>44124.540277777778</v>
      </c>
      <c r="C1063" s="2">
        <v>44126.347222222219</v>
      </c>
      <c r="D1063">
        <v>2</v>
      </c>
      <c r="E1063" t="s">
        <v>6</v>
      </c>
      <c r="F1063" t="s">
        <v>10</v>
      </c>
      <c r="G1063" t="s">
        <v>31</v>
      </c>
      <c r="H1063">
        <v>74</v>
      </c>
      <c r="I1063">
        <v>4</v>
      </c>
      <c r="J1063">
        <v>1.32</v>
      </c>
      <c r="K1063" t="s">
        <v>15</v>
      </c>
      <c r="L1063">
        <v>90</v>
      </c>
      <c r="M1063">
        <v>186</v>
      </c>
      <c r="N1063">
        <v>100</v>
      </c>
      <c r="O1063">
        <v>29</v>
      </c>
      <c r="P1063" t="s">
        <v>45</v>
      </c>
    </row>
    <row r="1064" spans="1:16" x14ac:dyDescent="0.25">
      <c r="A1064">
        <v>1074</v>
      </c>
      <c r="B1064" s="2">
        <v>44125.672222222223</v>
      </c>
      <c r="C1064" s="2">
        <v>44126.347222222219</v>
      </c>
      <c r="D1064">
        <v>4</v>
      </c>
      <c r="E1064" t="s">
        <v>4</v>
      </c>
      <c r="F1064" t="s">
        <v>11</v>
      </c>
      <c r="G1064" t="s">
        <v>34</v>
      </c>
      <c r="H1064">
        <v>80</v>
      </c>
      <c r="I1064">
        <v>7.94</v>
      </c>
      <c r="J1064">
        <v>1.88</v>
      </c>
      <c r="K1064" t="s">
        <v>15</v>
      </c>
      <c r="L1064">
        <v>118</v>
      </c>
      <c r="M1064">
        <v>180</v>
      </c>
      <c r="N1064">
        <v>74</v>
      </c>
      <c r="O1064">
        <v>34</v>
      </c>
      <c r="P1064" t="s">
        <v>46</v>
      </c>
    </row>
    <row r="1065" spans="1:16" x14ac:dyDescent="0.25">
      <c r="A1065">
        <v>1075</v>
      </c>
      <c r="B1065" s="2">
        <v>44125.675694444442</v>
      </c>
      <c r="C1065" s="2">
        <v>44126.348611111112</v>
      </c>
      <c r="D1065">
        <v>5</v>
      </c>
      <c r="E1065" t="s">
        <v>4</v>
      </c>
      <c r="F1065" t="s">
        <v>10</v>
      </c>
      <c r="G1065" t="s">
        <v>21</v>
      </c>
      <c r="H1065">
        <v>69</v>
      </c>
      <c r="I1065">
        <v>2.35</v>
      </c>
      <c r="J1065">
        <v>1.45</v>
      </c>
      <c r="K1065" t="s">
        <v>15</v>
      </c>
      <c r="L1065">
        <v>70</v>
      </c>
      <c r="M1065">
        <v>180</v>
      </c>
      <c r="N1065">
        <v>100</v>
      </c>
      <c r="O1065">
        <v>55</v>
      </c>
      <c r="P1065" t="s">
        <v>44</v>
      </c>
    </row>
    <row r="1066" spans="1:16" x14ac:dyDescent="0.25">
      <c r="A1066">
        <v>1076</v>
      </c>
      <c r="B1066" s="2">
        <v>44126.288194444445</v>
      </c>
      <c r="C1066" s="2">
        <v>44126.665972222225</v>
      </c>
      <c r="D1066">
        <v>2</v>
      </c>
      <c r="E1066" t="s">
        <v>4</v>
      </c>
      <c r="F1066" t="s">
        <v>3</v>
      </c>
      <c r="G1066" t="s">
        <v>34</v>
      </c>
      <c r="H1066">
        <v>76</v>
      </c>
      <c r="I1066">
        <v>6.19</v>
      </c>
      <c r="J1066">
        <v>0.98</v>
      </c>
      <c r="K1066" t="s">
        <v>15</v>
      </c>
      <c r="L1066">
        <v>61</v>
      </c>
      <c r="M1066">
        <v>151</v>
      </c>
      <c r="N1066">
        <v>68</v>
      </c>
      <c r="O1066">
        <v>40</v>
      </c>
      <c r="P1066" t="s">
        <v>46</v>
      </c>
    </row>
    <row r="1067" spans="1:16" x14ac:dyDescent="0.25">
      <c r="A1067">
        <v>1077</v>
      </c>
      <c r="B1067" s="2">
        <v>44118.5</v>
      </c>
      <c r="C1067" s="2">
        <v>44127.333333333336</v>
      </c>
      <c r="D1067">
        <v>5</v>
      </c>
      <c r="E1067" t="s">
        <v>6</v>
      </c>
      <c r="F1067" t="s">
        <v>10</v>
      </c>
      <c r="G1067" t="s">
        <v>31</v>
      </c>
      <c r="H1067">
        <v>84</v>
      </c>
      <c r="I1067">
        <v>17.88</v>
      </c>
      <c r="J1067">
        <v>2.86</v>
      </c>
      <c r="K1067" t="s">
        <v>15</v>
      </c>
      <c r="L1067">
        <v>154</v>
      </c>
      <c r="M1067">
        <v>188</v>
      </c>
      <c r="N1067">
        <v>100</v>
      </c>
      <c r="O1067">
        <v>28</v>
      </c>
      <c r="P1067" t="s">
        <v>45</v>
      </c>
    </row>
    <row r="1068" spans="1:16" x14ac:dyDescent="0.25">
      <c r="A1068">
        <v>1078</v>
      </c>
      <c r="B1068" s="2">
        <v>44121.395138888889</v>
      </c>
      <c r="C1068" s="2">
        <v>44127.34375</v>
      </c>
      <c r="D1068">
        <v>2</v>
      </c>
      <c r="E1068" t="s">
        <v>4</v>
      </c>
      <c r="F1068" t="s">
        <v>3</v>
      </c>
      <c r="G1068" t="s">
        <v>35</v>
      </c>
      <c r="H1068">
        <v>82</v>
      </c>
      <c r="I1068">
        <v>24</v>
      </c>
      <c r="J1068">
        <v>9.9700000000000006</v>
      </c>
      <c r="K1068" t="s">
        <v>15</v>
      </c>
      <c r="L1068">
        <v>65</v>
      </c>
      <c r="M1068">
        <v>178</v>
      </c>
      <c r="N1068">
        <v>75</v>
      </c>
      <c r="O1068">
        <v>45</v>
      </c>
      <c r="P1068" t="s">
        <v>46</v>
      </c>
    </row>
    <row r="1069" spans="1:16" x14ac:dyDescent="0.25">
      <c r="A1069">
        <v>1079</v>
      </c>
      <c r="B1069" s="2">
        <v>44126.707638888889</v>
      </c>
      <c r="C1069" s="2">
        <v>44127.34375</v>
      </c>
      <c r="D1069">
        <v>4</v>
      </c>
      <c r="E1069" t="s">
        <v>4</v>
      </c>
      <c r="F1069" t="s">
        <v>3</v>
      </c>
      <c r="G1069" t="s">
        <v>24</v>
      </c>
      <c r="H1069">
        <v>54</v>
      </c>
      <c r="I1069">
        <v>1.51</v>
      </c>
      <c r="J1069">
        <v>1.64</v>
      </c>
      <c r="K1069" t="s">
        <v>15</v>
      </c>
      <c r="L1069">
        <v>115</v>
      </c>
      <c r="M1069">
        <v>173</v>
      </c>
      <c r="N1069">
        <v>118</v>
      </c>
      <c r="O1069">
        <v>60</v>
      </c>
      <c r="P1069" t="s">
        <v>44</v>
      </c>
    </row>
    <row r="1070" spans="1:16" x14ac:dyDescent="0.25">
      <c r="A1070">
        <v>1080</v>
      </c>
      <c r="B1070" s="2">
        <v>44124.481249999997</v>
      </c>
      <c r="C1070" s="2">
        <v>44127.34375</v>
      </c>
      <c r="D1070">
        <v>6</v>
      </c>
      <c r="E1070" t="s">
        <v>6</v>
      </c>
      <c r="F1070" t="s">
        <v>10</v>
      </c>
      <c r="G1070" t="s">
        <v>27</v>
      </c>
      <c r="H1070">
        <v>83</v>
      </c>
      <c r="I1070">
        <v>9.56</v>
      </c>
      <c r="J1070">
        <v>4.84</v>
      </c>
      <c r="K1070" t="s">
        <v>15</v>
      </c>
      <c r="L1070">
        <v>92</v>
      </c>
      <c r="M1070">
        <v>163</v>
      </c>
      <c r="N1070">
        <v>79</v>
      </c>
      <c r="O1070">
        <v>52</v>
      </c>
      <c r="P1070" t="s">
        <v>44</v>
      </c>
    </row>
    <row r="1071" spans="1:16" x14ac:dyDescent="0.25">
      <c r="A1071">
        <v>1081</v>
      </c>
      <c r="B1071" s="2">
        <v>44125.810416666667</v>
      </c>
      <c r="C1071" s="2">
        <v>44127.535416666666</v>
      </c>
      <c r="D1071">
        <v>5</v>
      </c>
      <c r="E1071" t="s">
        <v>2</v>
      </c>
      <c r="F1071" t="s">
        <v>3</v>
      </c>
      <c r="G1071" t="s">
        <v>31</v>
      </c>
      <c r="H1071">
        <v>66</v>
      </c>
      <c r="I1071">
        <v>52.49</v>
      </c>
      <c r="J1071">
        <v>56.65</v>
      </c>
      <c r="K1071" t="s">
        <v>15</v>
      </c>
      <c r="L1071">
        <v>94</v>
      </c>
      <c r="M1071">
        <v>172</v>
      </c>
      <c r="N1071">
        <v>92</v>
      </c>
      <c r="O1071">
        <v>61</v>
      </c>
      <c r="P1071" t="s">
        <v>44</v>
      </c>
    </row>
    <row r="1072" spans="1:16" x14ac:dyDescent="0.25">
      <c r="A1072">
        <v>1082</v>
      </c>
      <c r="B1072" s="2">
        <v>44126.666666666664</v>
      </c>
      <c r="C1072" s="2">
        <v>44127.611111111109</v>
      </c>
      <c r="D1072">
        <v>4</v>
      </c>
      <c r="E1072" t="s">
        <v>4</v>
      </c>
      <c r="F1072" t="s">
        <v>10</v>
      </c>
      <c r="G1072" t="s">
        <v>27</v>
      </c>
      <c r="H1072">
        <v>77</v>
      </c>
      <c r="I1072">
        <v>2.87</v>
      </c>
      <c r="J1072">
        <v>1.1000000000000001</v>
      </c>
      <c r="K1072" t="s">
        <v>15</v>
      </c>
      <c r="L1072">
        <v>91</v>
      </c>
      <c r="M1072">
        <v>183</v>
      </c>
      <c r="N1072">
        <v>119</v>
      </c>
      <c r="O1072">
        <v>66</v>
      </c>
      <c r="P1072" t="s">
        <v>44</v>
      </c>
    </row>
    <row r="1073" spans="1:16" x14ac:dyDescent="0.25">
      <c r="A1073">
        <v>1083</v>
      </c>
      <c r="B1073" s="2">
        <v>44126.724305555559</v>
      </c>
      <c r="C1073" s="2">
        <v>44127.722222222219</v>
      </c>
      <c r="D1073">
        <v>2</v>
      </c>
      <c r="E1073" t="s">
        <v>2</v>
      </c>
      <c r="F1073" t="s">
        <v>10</v>
      </c>
      <c r="G1073" t="s">
        <v>24</v>
      </c>
      <c r="H1073">
        <v>69</v>
      </c>
      <c r="I1073">
        <v>27.02</v>
      </c>
      <c r="J1073">
        <v>13.62</v>
      </c>
      <c r="K1073" t="s">
        <v>15</v>
      </c>
      <c r="L1073">
        <v>71</v>
      </c>
      <c r="M1073">
        <v>165</v>
      </c>
      <c r="N1073">
        <v>77</v>
      </c>
      <c r="O1073">
        <v>61</v>
      </c>
      <c r="P1073" t="s">
        <v>44</v>
      </c>
    </row>
    <row r="1074" spans="1:16" x14ac:dyDescent="0.25">
      <c r="A1074">
        <v>1084</v>
      </c>
      <c r="B1074" s="2">
        <v>44126.416666666664</v>
      </c>
      <c r="C1074" s="2">
        <v>44128.333333333336</v>
      </c>
      <c r="D1074">
        <v>4</v>
      </c>
      <c r="E1074" t="s">
        <v>4</v>
      </c>
      <c r="F1074" t="s">
        <v>3</v>
      </c>
      <c r="G1074" t="s">
        <v>30</v>
      </c>
      <c r="H1074">
        <v>48</v>
      </c>
      <c r="I1074">
        <v>2.27</v>
      </c>
      <c r="J1074">
        <v>1.58</v>
      </c>
      <c r="K1074" t="s">
        <v>15</v>
      </c>
      <c r="L1074">
        <v>70</v>
      </c>
      <c r="M1074">
        <v>178</v>
      </c>
      <c r="N1074">
        <v>150</v>
      </c>
      <c r="O1074">
        <v>25</v>
      </c>
      <c r="P1074" t="s">
        <v>45</v>
      </c>
    </row>
    <row r="1075" spans="1:16" x14ac:dyDescent="0.25">
      <c r="A1075">
        <v>1085</v>
      </c>
      <c r="B1075" s="2">
        <v>44127.840277777781</v>
      </c>
      <c r="C1075" s="2">
        <v>44128.337500000001</v>
      </c>
      <c r="D1075">
        <v>5</v>
      </c>
      <c r="E1075" t="s">
        <v>2</v>
      </c>
      <c r="F1075" t="s">
        <v>1</v>
      </c>
      <c r="G1075" t="s">
        <v>31</v>
      </c>
      <c r="H1075">
        <v>33</v>
      </c>
      <c r="I1075">
        <v>9.0399999999999991</v>
      </c>
      <c r="J1075">
        <v>3.27</v>
      </c>
      <c r="K1075" t="s">
        <v>15</v>
      </c>
      <c r="L1075">
        <v>84</v>
      </c>
      <c r="M1075">
        <v>172</v>
      </c>
      <c r="N1075">
        <v>68</v>
      </c>
      <c r="O1075">
        <v>55</v>
      </c>
      <c r="P1075" t="s">
        <v>44</v>
      </c>
    </row>
    <row r="1076" spans="1:16" x14ac:dyDescent="0.25">
      <c r="A1076">
        <v>1086</v>
      </c>
      <c r="B1076" s="2">
        <v>44127.583333333336</v>
      </c>
      <c r="C1076" s="2">
        <v>44130.34097222222</v>
      </c>
      <c r="D1076">
        <v>2</v>
      </c>
      <c r="E1076" t="s">
        <v>6</v>
      </c>
      <c r="F1076" t="s">
        <v>3</v>
      </c>
      <c r="G1076" t="s">
        <v>35</v>
      </c>
      <c r="H1076">
        <v>75</v>
      </c>
      <c r="I1076">
        <v>5.82</v>
      </c>
      <c r="J1076">
        <v>1.76</v>
      </c>
      <c r="K1076" t="s">
        <v>15</v>
      </c>
      <c r="L1076">
        <v>100</v>
      </c>
      <c r="M1076">
        <v>185</v>
      </c>
      <c r="N1076">
        <v>107</v>
      </c>
      <c r="O1076">
        <v>43</v>
      </c>
      <c r="P1076" t="s">
        <v>46</v>
      </c>
    </row>
    <row r="1077" spans="1:16" x14ac:dyDescent="0.25">
      <c r="A1077">
        <v>1087</v>
      </c>
      <c r="B1077" s="2">
        <v>44128.458333333336</v>
      </c>
      <c r="C1077" s="2">
        <v>44130.343055555553</v>
      </c>
      <c r="D1077">
        <v>6</v>
      </c>
      <c r="E1077" t="s">
        <v>6</v>
      </c>
      <c r="F1077" t="s">
        <v>10</v>
      </c>
      <c r="G1077" t="s">
        <v>24</v>
      </c>
      <c r="H1077">
        <v>74</v>
      </c>
      <c r="I1077">
        <v>4</v>
      </c>
      <c r="J1077">
        <v>1.98</v>
      </c>
      <c r="K1077" t="s">
        <v>15</v>
      </c>
      <c r="L1077">
        <v>62</v>
      </c>
      <c r="M1077">
        <v>157</v>
      </c>
      <c r="N1077">
        <v>80</v>
      </c>
      <c r="O1077">
        <v>40</v>
      </c>
      <c r="P1077" t="s">
        <v>46</v>
      </c>
    </row>
    <row r="1078" spans="1:16" x14ac:dyDescent="0.25">
      <c r="A1078">
        <v>1088</v>
      </c>
      <c r="B1078" s="2">
        <v>44129.666666666664</v>
      </c>
      <c r="C1078" s="2">
        <v>44130.348611111112</v>
      </c>
      <c r="D1078">
        <v>5</v>
      </c>
      <c r="E1078" t="s">
        <v>4</v>
      </c>
      <c r="F1078" t="s">
        <v>11</v>
      </c>
      <c r="G1078" t="s">
        <v>29</v>
      </c>
      <c r="H1078">
        <v>40</v>
      </c>
      <c r="I1078">
        <v>5.48</v>
      </c>
      <c r="J1078">
        <v>4.2699999999999996</v>
      </c>
      <c r="K1078" t="s">
        <v>15</v>
      </c>
      <c r="L1078">
        <v>159</v>
      </c>
      <c r="M1078">
        <v>150</v>
      </c>
      <c r="N1078">
        <v>111</v>
      </c>
      <c r="O1078">
        <v>55</v>
      </c>
      <c r="P1078" t="s">
        <v>44</v>
      </c>
    </row>
    <row r="1079" spans="1:16" x14ac:dyDescent="0.25">
      <c r="A1079">
        <v>1089</v>
      </c>
      <c r="B1079" s="2">
        <v>44128.291666666664</v>
      </c>
      <c r="C1079" s="2">
        <v>44130.349305555559</v>
      </c>
      <c r="D1079">
        <v>3</v>
      </c>
      <c r="E1079" t="s">
        <v>4</v>
      </c>
      <c r="F1079" t="s">
        <v>10</v>
      </c>
      <c r="G1079" t="s">
        <v>30</v>
      </c>
      <c r="H1079">
        <v>73</v>
      </c>
      <c r="I1079">
        <v>2.21</v>
      </c>
      <c r="J1079">
        <v>0.73</v>
      </c>
      <c r="K1079" t="s">
        <v>15</v>
      </c>
      <c r="L1079">
        <v>74</v>
      </c>
      <c r="M1079">
        <v>149</v>
      </c>
      <c r="N1079">
        <v>48</v>
      </c>
      <c r="O1079">
        <v>55</v>
      </c>
      <c r="P1079" t="s">
        <v>44</v>
      </c>
    </row>
    <row r="1080" spans="1:16" x14ac:dyDescent="0.25">
      <c r="A1080">
        <v>1090</v>
      </c>
      <c r="B1080" s="2">
        <v>44118.583333333336</v>
      </c>
      <c r="C1080" s="2">
        <v>44130.351388888892</v>
      </c>
      <c r="D1080">
        <v>4</v>
      </c>
      <c r="E1080" t="s">
        <v>6</v>
      </c>
      <c r="F1080" t="s">
        <v>10</v>
      </c>
      <c r="G1080" t="s">
        <v>31</v>
      </c>
      <c r="H1080">
        <v>70</v>
      </c>
      <c r="I1080">
        <v>4.97</v>
      </c>
      <c r="J1080">
        <v>1.28</v>
      </c>
      <c r="K1080" t="s">
        <v>15</v>
      </c>
      <c r="L1080">
        <v>71</v>
      </c>
      <c r="M1080">
        <v>176</v>
      </c>
      <c r="N1080">
        <v>85</v>
      </c>
      <c r="O1080">
        <v>42</v>
      </c>
      <c r="P1080" t="s">
        <v>46</v>
      </c>
    </row>
    <row r="1081" spans="1:16" x14ac:dyDescent="0.25">
      <c r="A1081">
        <v>1091</v>
      </c>
      <c r="B1081" s="2">
        <v>44129.659722222219</v>
      </c>
      <c r="C1081" s="2">
        <v>44130.551388888889</v>
      </c>
      <c r="D1081">
        <v>3</v>
      </c>
      <c r="E1081" t="s">
        <v>4</v>
      </c>
      <c r="F1081" t="s">
        <v>10</v>
      </c>
      <c r="G1081" t="s">
        <v>30</v>
      </c>
      <c r="H1081">
        <v>79</v>
      </c>
      <c r="I1081">
        <v>3.26</v>
      </c>
      <c r="J1081">
        <v>2.0099999999999998</v>
      </c>
      <c r="K1081" t="s">
        <v>15</v>
      </c>
      <c r="L1081">
        <v>97</v>
      </c>
      <c r="M1081">
        <v>164</v>
      </c>
      <c r="N1081">
        <v>68</v>
      </c>
      <c r="O1081">
        <v>30</v>
      </c>
      <c r="P1081" t="s">
        <v>45</v>
      </c>
    </row>
    <row r="1082" spans="1:16" x14ac:dyDescent="0.25">
      <c r="A1082">
        <v>1092</v>
      </c>
      <c r="B1082" s="2">
        <v>44130.479861111111</v>
      </c>
      <c r="C1082" s="2">
        <v>44130.600694444445</v>
      </c>
      <c r="D1082">
        <v>4</v>
      </c>
      <c r="E1082" t="s">
        <v>2</v>
      </c>
      <c r="F1082" t="s">
        <v>10</v>
      </c>
      <c r="G1082" t="s">
        <v>31</v>
      </c>
      <c r="H1082">
        <v>50</v>
      </c>
      <c r="I1082">
        <v>10.53</v>
      </c>
      <c r="J1082">
        <v>9.5399999999999991</v>
      </c>
      <c r="K1082" t="s">
        <v>15</v>
      </c>
      <c r="L1082">
        <v>81</v>
      </c>
      <c r="M1082">
        <v>155</v>
      </c>
      <c r="N1082">
        <v>65</v>
      </c>
      <c r="O1082">
        <v>45</v>
      </c>
      <c r="P1082" t="s">
        <v>46</v>
      </c>
    </row>
    <row r="1083" spans="1:16" x14ac:dyDescent="0.25">
      <c r="A1083">
        <v>1093</v>
      </c>
      <c r="B1083" s="2">
        <v>44130.583333333336</v>
      </c>
      <c r="C1083" s="2">
        <v>44131.342361111114</v>
      </c>
      <c r="D1083">
        <v>2</v>
      </c>
      <c r="E1083" t="s">
        <v>4</v>
      </c>
      <c r="F1083" t="s">
        <v>10</v>
      </c>
      <c r="G1083" t="s">
        <v>27</v>
      </c>
      <c r="H1083">
        <v>66</v>
      </c>
      <c r="I1083">
        <v>2.11</v>
      </c>
      <c r="J1083">
        <v>1.0900000000000001</v>
      </c>
      <c r="K1083" t="s">
        <v>15</v>
      </c>
      <c r="L1083">
        <v>88</v>
      </c>
      <c r="M1083">
        <v>176</v>
      </c>
      <c r="N1083">
        <v>75</v>
      </c>
      <c r="O1083">
        <v>45</v>
      </c>
      <c r="P1083" t="s">
        <v>46</v>
      </c>
    </row>
    <row r="1084" spans="1:16" x14ac:dyDescent="0.25">
      <c r="A1084">
        <v>1094</v>
      </c>
      <c r="B1084" s="2">
        <v>44130.666666666664</v>
      </c>
      <c r="C1084" s="2">
        <v>44131.34375</v>
      </c>
      <c r="D1084">
        <v>6</v>
      </c>
      <c r="E1084" t="s">
        <v>4</v>
      </c>
      <c r="F1084" t="s">
        <v>11</v>
      </c>
      <c r="G1084" t="s">
        <v>29</v>
      </c>
      <c r="H1084">
        <v>83</v>
      </c>
      <c r="I1084">
        <v>16.86</v>
      </c>
      <c r="J1084">
        <v>13.31</v>
      </c>
      <c r="K1084" t="s">
        <v>15</v>
      </c>
      <c r="L1084">
        <v>74</v>
      </c>
      <c r="M1084">
        <v>177</v>
      </c>
      <c r="N1084">
        <v>83</v>
      </c>
      <c r="O1084">
        <v>55</v>
      </c>
      <c r="P1084" t="s">
        <v>44</v>
      </c>
    </row>
    <row r="1085" spans="1:16" x14ac:dyDescent="0.25">
      <c r="A1085">
        <v>1095</v>
      </c>
      <c r="B1085" s="2">
        <v>44125.548611111109</v>
      </c>
      <c r="C1085" s="2">
        <v>44131.347222222219</v>
      </c>
      <c r="D1085">
        <v>4</v>
      </c>
      <c r="E1085" t="s">
        <v>6</v>
      </c>
      <c r="F1085" t="s">
        <v>3</v>
      </c>
      <c r="G1085" t="s">
        <v>35</v>
      </c>
      <c r="H1085">
        <v>64</v>
      </c>
      <c r="I1085">
        <v>4.32</v>
      </c>
      <c r="J1085">
        <v>1.96</v>
      </c>
      <c r="K1085" t="s">
        <v>15</v>
      </c>
      <c r="L1085">
        <v>131</v>
      </c>
      <c r="M1085">
        <v>180</v>
      </c>
      <c r="N1085">
        <v>91</v>
      </c>
      <c r="O1085">
        <v>55</v>
      </c>
      <c r="P1085" t="s">
        <v>44</v>
      </c>
    </row>
    <row r="1086" spans="1:16" x14ac:dyDescent="0.25">
      <c r="A1086">
        <v>1096</v>
      </c>
      <c r="B1086" s="2">
        <v>44130.666666666664</v>
      </c>
      <c r="C1086" s="2">
        <v>44131.361111111109</v>
      </c>
      <c r="D1086">
        <v>5</v>
      </c>
      <c r="E1086" t="s">
        <v>4</v>
      </c>
      <c r="F1086" t="s">
        <v>3</v>
      </c>
      <c r="G1086" t="s">
        <v>26</v>
      </c>
      <c r="H1086">
        <v>83</v>
      </c>
      <c r="I1086">
        <v>7.03</v>
      </c>
      <c r="J1086">
        <v>10.39</v>
      </c>
      <c r="K1086" t="s">
        <v>13</v>
      </c>
      <c r="L1086">
        <v>88</v>
      </c>
      <c r="M1086">
        <v>162</v>
      </c>
      <c r="N1086">
        <v>70</v>
      </c>
      <c r="O1086">
        <v>61</v>
      </c>
      <c r="P1086" t="s">
        <v>44</v>
      </c>
    </row>
    <row r="1087" spans="1:16" x14ac:dyDescent="0.25">
      <c r="A1087">
        <v>1097</v>
      </c>
      <c r="B1087" s="2">
        <v>44131.291666666664</v>
      </c>
      <c r="C1087" s="2">
        <v>44131.541666666664</v>
      </c>
      <c r="D1087">
        <v>4</v>
      </c>
      <c r="E1087" t="s">
        <v>4</v>
      </c>
      <c r="F1087" t="s">
        <v>11</v>
      </c>
      <c r="G1087" t="s">
        <v>35</v>
      </c>
      <c r="H1087">
        <v>80</v>
      </c>
      <c r="I1087">
        <v>5.83</v>
      </c>
      <c r="J1087">
        <v>1.68</v>
      </c>
      <c r="K1087" t="s">
        <v>15</v>
      </c>
      <c r="L1087">
        <v>85</v>
      </c>
      <c r="M1087">
        <v>172</v>
      </c>
      <c r="N1087">
        <v>88</v>
      </c>
      <c r="O1087">
        <v>60</v>
      </c>
      <c r="P1087" t="s">
        <v>44</v>
      </c>
    </row>
    <row r="1088" spans="1:16" x14ac:dyDescent="0.25">
      <c r="A1088">
        <v>1098</v>
      </c>
      <c r="B1088" s="2">
        <v>44128.576388888891</v>
      </c>
      <c r="C1088" s="2">
        <v>44131.600694444445</v>
      </c>
      <c r="D1088">
        <v>2</v>
      </c>
      <c r="E1088" t="s">
        <v>6</v>
      </c>
      <c r="F1088" t="s">
        <v>10</v>
      </c>
      <c r="G1088" t="s">
        <v>27</v>
      </c>
      <c r="H1088">
        <v>72</v>
      </c>
      <c r="I1088">
        <v>3.52</v>
      </c>
      <c r="J1088">
        <v>1.68</v>
      </c>
      <c r="K1088" t="s">
        <v>15</v>
      </c>
      <c r="L1088">
        <v>73</v>
      </c>
      <c r="M1088">
        <v>177</v>
      </c>
      <c r="N1088">
        <v>112</v>
      </c>
      <c r="O1088">
        <v>55</v>
      </c>
      <c r="P1088" t="s">
        <v>44</v>
      </c>
    </row>
    <row r="1089" spans="1:16" x14ac:dyDescent="0.25">
      <c r="A1089">
        <v>1099</v>
      </c>
      <c r="B1089" s="2">
        <v>44130.458333333336</v>
      </c>
      <c r="C1089" s="2">
        <v>44131.652777777781</v>
      </c>
      <c r="D1089">
        <v>6</v>
      </c>
      <c r="E1089" t="s">
        <v>4</v>
      </c>
      <c r="F1089" t="s">
        <v>1</v>
      </c>
      <c r="G1089" t="s">
        <v>29</v>
      </c>
      <c r="H1089">
        <v>38</v>
      </c>
      <c r="I1089">
        <v>7.39</v>
      </c>
      <c r="J1089">
        <v>1.29</v>
      </c>
      <c r="K1089" t="s">
        <v>15</v>
      </c>
      <c r="L1089">
        <v>101</v>
      </c>
      <c r="M1089">
        <v>165</v>
      </c>
      <c r="N1089">
        <v>62</v>
      </c>
      <c r="O1089">
        <v>50</v>
      </c>
      <c r="P1089" t="s">
        <v>46</v>
      </c>
    </row>
    <row r="1090" spans="1:16" x14ac:dyDescent="0.25">
      <c r="A1090">
        <v>1100</v>
      </c>
      <c r="B1090" s="2">
        <v>44131.673611111109</v>
      </c>
      <c r="C1090" s="2">
        <v>44132.336805555555</v>
      </c>
      <c r="D1090">
        <v>6</v>
      </c>
      <c r="E1090" t="s">
        <v>4</v>
      </c>
      <c r="F1090" t="s">
        <v>3</v>
      </c>
      <c r="G1090" t="s">
        <v>21</v>
      </c>
      <c r="H1090">
        <v>71</v>
      </c>
      <c r="I1090">
        <v>3.29</v>
      </c>
      <c r="J1090">
        <v>1.03</v>
      </c>
      <c r="K1090" t="s">
        <v>15</v>
      </c>
      <c r="L1090">
        <v>124</v>
      </c>
      <c r="M1090">
        <v>154</v>
      </c>
      <c r="N1090">
        <v>85</v>
      </c>
      <c r="O1090">
        <v>55</v>
      </c>
      <c r="P1090" t="s">
        <v>44</v>
      </c>
    </row>
    <row r="1091" spans="1:16" x14ac:dyDescent="0.25">
      <c r="A1091">
        <v>1101</v>
      </c>
      <c r="B1091" s="2">
        <v>44131.661111111112</v>
      </c>
      <c r="C1091" s="2">
        <v>44132.339583333334</v>
      </c>
      <c r="D1091">
        <v>5</v>
      </c>
      <c r="E1091" t="s">
        <v>4</v>
      </c>
      <c r="F1091" t="s">
        <v>10</v>
      </c>
      <c r="G1091" t="s">
        <v>26</v>
      </c>
      <c r="H1091">
        <v>74</v>
      </c>
      <c r="I1091">
        <v>2.36</v>
      </c>
      <c r="J1091">
        <v>1.1200000000000001</v>
      </c>
      <c r="K1091" t="s">
        <v>15</v>
      </c>
      <c r="L1091">
        <v>109</v>
      </c>
      <c r="M1091">
        <v>170</v>
      </c>
      <c r="N1091">
        <v>87</v>
      </c>
      <c r="O1091">
        <v>64</v>
      </c>
      <c r="P1091" t="s">
        <v>44</v>
      </c>
    </row>
    <row r="1092" spans="1:16" x14ac:dyDescent="0.25">
      <c r="A1092">
        <v>1102</v>
      </c>
      <c r="B1092" s="2">
        <v>44130.442361111112</v>
      </c>
      <c r="C1092" s="2">
        <v>44132.34375</v>
      </c>
      <c r="D1092">
        <v>4</v>
      </c>
      <c r="E1092" t="s">
        <v>6</v>
      </c>
      <c r="F1092" t="s">
        <v>10</v>
      </c>
      <c r="G1092" t="s">
        <v>24</v>
      </c>
      <c r="H1092">
        <v>63</v>
      </c>
      <c r="I1092">
        <v>1.59</v>
      </c>
      <c r="J1092">
        <v>1.25</v>
      </c>
      <c r="K1092" t="s">
        <v>15</v>
      </c>
      <c r="L1092">
        <v>71</v>
      </c>
      <c r="M1092">
        <v>180</v>
      </c>
      <c r="N1092">
        <v>120</v>
      </c>
      <c r="O1092">
        <v>40</v>
      </c>
      <c r="P1092" t="s">
        <v>46</v>
      </c>
    </row>
    <row r="1093" spans="1:16" x14ac:dyDescent="0.25">
      <c r="A1093">
        <v>1103</v>
      </c>
      <c r="B1093" s="2">
        <v>44120.711805555555</v>
      </c>
      <c r="C1093" s="2">
        <v>44132.350694444445</v>
      </c>
      <c r="D1093">
        <v>2</v>
      </c>
      <c r="E1093" t="s">
        <v>6</v>
      </c>
      <c r="F1093" t="s">
        <v>11</v>
      </c>
      <c r="G1093" t="s">
        <v>28</v>
      </c>
      <c r="H1093">
        <v>74</v>
      </c>
      <c r="I1093">
        <v>5.46</v>
      </c>
      <c r="J1093">
        <v>8.16</v>
      </c>
      <c r="K1093" t="s">
        <v>15</v>
      </c>
      <c r="L1093">
        <v>89</v>
      </c>
      <c r="M1093">
        <v>162</v>
      </c>
      <c r="N1093">
        <v>91</v>
      </c>
      <c r="O1093">
        <v>51</v>
      </c>
      <c r="P1093" t="s">
        <v>44</v>
      </c>
    </row>
    <row r="1094" spans="1:16" x14ac:dyDescent="0.25">
      <c r="A1094">
        <v>1104</v>
      </c>
      <c r="B1094" s="2">
        <v>44132.502083333333</v>
      </c>
      <c r="C1094" s="2">
        <v>44133.340277777781</v>
      </c>
      <c r="D1094">
        <v>2</v>
      </c>
      <c r="E1094" t="s">
        <v>2</v>
      </c>
      <c r="F1094" t="s">
        <v>1</v>
      </c>
      <c r="G1094" t="s">
        <v>31</v>
      </c>
      <c r="H1094">
        <v>30</v>
      </c>
      <c r="I1094">
        <v>32.299999999999997</v>
      </c>
      <c r="J1094">
        <v>8.73</v>
      </c>
      <c r="K1094" t="s">
        <v>15</v>
      </c>
      <c r="L1094">
        <v>81</v>
      </c>
      <c r="M1094">
        <v>150</v>
      </c>
      <c r="N1094">
        <v>69</v>
      </c>
      <c r="O1094">
        <v>45</v>
      </c>
      <c r="P1094" t="s">
        <v>46</v>
      </c>
    </row>
    <row r="1095" spans="1:16" x14ac:dyDescent="0.25">
      <c r="A1095">
        <v>1105</v>
      </c>
      <c r="B1095" s="2">
        <v>44132.5625</v>
      </c>
      <c r="C1095" s="2">
        <v>44133.341666666667</v>
      </c>
      <c r="D1095">
        <v>5</v>
      </c>
      <c r="E1095" t="s">
        <v>4</v>
      </c>
      <c r="F1095" t="s">
        <v>10</v>
      </c>
      <c r="G1095" t="s">
        <v>21</v>
      </c>
      <c r="H1095">
        <v>78</v>
      </c>
      <c r="I1095">
        <v>3.06</v>
      </c>
      <c r="J1095">
        <v>1.1200000000000001</v>
      </c>
      <c r="K1095" t="s">
        <v>15</v>
      </c>
      <c r="L1095">
        <v>138</v>
      </c>
      <c r="M1095">
        <v>176</v>
      </c>
      <c r="N1095">
        <v>85</v>
      </c>
      <c r="O1095">
        <v>55</v>
      </c>
      <c r="P1095" t="s">
        <v>44</v>
      </c>
    </row>
    <row r="1096" spans="1:16" x14ac:dyDescent="0.25">
      <c r="A1096">
        <v>1106</v>
      </c>
      <c r="B1096" s="2">
        <v>44131.780555555553</v>
      </c>
      <c r="C1096" s="2">
        <v>44133.347222222219</v>
      </c>
      <c r="D1096">
        <v>4</v>
      </c>
      <c r="E1096" t="s">
        <v>6</v>
      </c>
      <c r="F1096" t="s">
        <v>10</v>
      </c>
      <c r="G1096" t="s">
        <v>27</v>
      </c>
      <c r="H1096">
        <v>59</v>
      </c>
      <c r="I1096">
        <v>1.51</v>
      </c>
      <c r="J1096">
        <v>0.89</v>
      </c>
      <c r="K1096" t="s">
        <v>15</v>
      </c>
      <c r="L1096">
        <v>67</v>
      </c>
      <c r="M1096">
        <v>158</v>
      </c>
      <c r="N1096">
        <v>77</v>
      </c>
      <c r="O1096">
        <v>60</v>
      </c>
      <c r="P1096" t="s">
        <v>44</v>
      </c>
    </row>
    <row r="1097" spans="1:16" x14ac:dyDescent="0.25">
      <c r="A1097">
        <v>1107</v>
      </c>
      <c r="B1097" s="2">
        <v>44132.438888888886</v>
      </c>
      <c r="C1097" s="2">
        <v>44133.4</v>
      </c>
      <c r="D1097">
        <v>3</v>
      </c>
      <c r="E1097" t="s">
        <v>4</v>
      </c>
      <c r="F1097" t="s">
        <v>11</v>
      </c>
      <c r="G1097" t="s">
        <v>24</v>
      </c>
      <c r="H1097">
        <v>76</v>
      </c>
      <c r="I1097">
        <v>6.19</v>
      </c>
      <c r="J1097">
        <v>3.02</v>
      </c>
      <c r="K1097" t="s">
        <v>15</v>
      </c>
      <c r="L1097">
        <v>83</v>
      </c>
      <c r="M1097">
        <v>169</v>
      </c>
      <c r="N1097">
        <v>75</v>
      </c>
      <c r="O1097">
        <v>61</v>
      </c>
      <c r="P1097" t="s">
        <v>44</v>
      </c>
    </row>
    <row r="1098" spans="1:16" x14ac:dyDescent="0.25">
      <c r="A1098">
        <v>1108</v>
      </c>
      <c r="B1098" s="2">
        <v>44133.299305555556</v>
      </c>
      <c r="C1098" s="2">
        <v>44133.587500000001</v>
      </c>
      <c r="D1098">
        <v>5</v>
      </c>
      <c r="E1098" t="s">
        <v>4</v>
      </c>
      <c r="F1098" t="s">
        <v>11</v>
      </c>
      <c r="G1098" t="s">
        <v>31</v>
      </c>
      <c r="H1098">
        <v>72</v>
      </c>
      <c r="I1098">
        <v>5.24</v>
      </c>
      <c r="J1098">
        <v>1.84</v>
      </c>
      <c r="K1098" t="s">
        <v>15</v>
      </c>
      <c r="L1098">
        <v>113</v>
      </c>
      <c r="M1098">
        <v>172</v>
      </c>
      <c r="N1098">
        <v>75</v>
      </c>
      <c r="O1098">
        <v>55</v>
      </c>
      <c r="P1098" t="s">
        <v>44</v>
      </c>
    </row>
    <row r="1099" spans="1:16" x14ac:dyDescent="0.25">
      <c r="A1099">
        <v>1109</v>
      </c>
      <c r="B1099" s="2">
        <v>44129.375</v>
      </c>
      <c r="C1099" s="2">
        <v>44134.333333333336</v>
      </c>
      <c r="D1099">
        <v>5</v>
      </c>
      <c r="E1099" t="s">
        <v>6</v>
      </c>
      <c r="F1099" t="s">
        <v>10</v>
      </c>
      <c r="G1099" t="s">
        <v>27</v>
      </c>
      <c r="H1099">
        <v>80</v>
      </c>
      <c r="I1099">
        <v>5.57</v>
      </c>
      <c r="J1099">
        <v>2.1800000000000002</v>
      </c>
      <c r="K1099" t="s">
        <v>15</v>
      </c>
      <c r="L1099">
        <v>77</v>
      </c>
      <c r="M1099">
        <v>179</v>
      </c>
      <c r="N1099">
        <v>85</v>
      </c>
      <c r="O1099">
        <v>55</v>
      </c>
      <c r="P1099" t="s">
        <v>44</v>
      </c>
    </row>
    <row r="1100" spans="1:16" x14ac:dyDescent="0.25">
      <c r="A1100">
        <v>1110</v>
      </c>
      <c r="B1100" s="2">
        <v>44133.665972222225</v>
      </c>
      <c r="C1100" s="2">
        <v>44134.34097222222</v>
      </c>
      <c r="D1100">
        <v>4</v>
      </c>
      <c r="E1100" t="s">
        <v>4</v>
      </c>
      <c r="F1100" t="s">
        <v>3</v>
      </c>
      <c r="G1100" t="s">
        <v>24</v>
      </c>
      <c r="H1100">
        <v>78</v>
      </c>
      <c r="I1100">
        <v>7.01</v>
      </c>
      <c r="J1100">
        <v>1.56</v>
      </c>
      <c r="K1100" t="s">
        <v>15</v>
      </c>
      <c r="L1100">
        <v>105</v>
      </c>
      <c r="M1100">
        <v>161</v>
      </c>
      <c r="N1100">
        <v>54</v>
      </c>
      <c r="O1100">
        <v>60</v>
      </c>
      <c r="P1100" t="s">
        <v>44</v>
      </c>
    </row>
    <row r="1101" spans="1:16" x14ac:dyDescent="0.25">
      <c r="A1101">
        <v>1111</v>
      </c>
      <c r="B1101" s="2">
        <v>44132.772916666669</v>
      </c>
      <c r="C1101" s="2">
        <v>44134.347222222219</v>
      </c>
      <c r="D1101">
        <v>3</v>
      </c>
      <c r="E1101" t="s">
        <v>6</v>
      </c>
      <c r="F1101" t="s">
        <v>3</v>
      </c>
      <c r="G1101" t="s">
        <v>30</v>
      </c>
      <c r="H1101">
        <v>30</v>
      </c>
      <c r="I1101">
        <v>16</v>
      </c>
      <c r="J1101">
        <v>6.76</v>
      </c>
      <c r="K1101" t="s">
        <v>15</v>
      </c>
      <c r="L1101">
        <v>132</v>
      </c>
      <c r="M1101">
        <v>175</v>
      </c>
      <c r="N1101">
        <v>86</v>
      </c>
      <c r="O1101">
        <v>48</v>
      </c>
      <c r="P1101" t="s">
        <v>46</v>
      </c>
    </row>
    <row r="1102" spans="1:16" x14ac:dyDescent="0.25">
      <c r="A1102">
        <v>1112</v>
      </c>
      <c r="B1102" s="2">
        <v>44124.446527777778</v>
      </c>
      <c r="C1102" s="2">
        <v>44134.347222222219</v>
      </c>
      <c r="D1102">
        <v>2</v>
      </c>
      <c r="E1102" t="s">
        <v>6</v>
      </c>
      <c r="F1102" t="s">
        <v>10</v>
      </c>
      <c r="G1102" t="s">
        <v>31</v>
      </c>
      <c r="H1102">
        <v>64</v>
      </c>
      <c r="I1102">
        <v>13.66</v>
      </c>
      <c r="J1102">
        <v>7.06</v>
      </c>
      <c r="K1102" t="s">
        <v>15</v>
      </c>
      <c r="L1102">
        <v>118</v>
      </c>
      <c r="M1102">
        <v>170</v>
      </c>
      <c r="N1102">
        <v>103</v>
      </c>
      <c r="O1102">
        <v>39</v>
      </c>
      <c r="P1102" t="s">
        <v>46</v>
      </c>
    </row>
    <row r="1103" spans="1:16" x14ac:dyDescent="0.25">
      <c r="A1103">
        <v>1113</v>
      </c>
      <c r="B1103" s="2">
        <v>44134.291666666664</v>
      </c>
      <c r="C1103" s="2">
        <v>44134.559027777781</v>
      </c>
      <c r="D1103">
        <v>5</v>
      </c>
      <c r="E1103" t="s">
        <v>4</v>
      </c>
      <c r="F1103" t="s">
        <v>10</v>
      </c>
      <c r="G1103" t="s">
        <v>21</v>
      </c>
      <c r="H1103">
        <v>79</v>
      </c>
      <c r="I1103">
        <v>4.87</v>
      </c>
      <c r="J1103">
        <v>1.76</v>
      </c>
      <c r="K1103" t="s">
        <v>15</v>
      </c>
      <c r="L1103">
        <v>138</v>
      </c>
      <c r="M1103">
        <v>168</v>
      </c>
      <c r="N1103">
        <v>68</v>
      </c>
      <c r="O1103">
        <v>60</v>
      </c>
      <c r="P1103" t="s">
        <v>44</v>
      </c>
    </row>
    <row r="1104" spans="1:16" x14ac:dyDescent="0.25">
      <c r="A1104">
        <v>1114</v>
      </c>
      <c r="B1104" s="2">
        <v>44133.661805555559</v>
      </c>
      <c r="C1104" s="2">
        <v>44134.578472222223</v>
      </c>
      <c r="D1104">
        <v>2</v>
      </c>
      <c r="E1104" t="s">
        <v>4</v>
      </c>
      <c r="F1104" t="s">
        <v>10</v>
      </c>
      <c r="G1104" t="s">
        <v>31</v>
      </c>
      <c r="H1104">
        <v>61</v>
      </c>
      <c r="I1104">
        <v>1.01</v>
      </c>
      <c r="J1104">
        <v>0.52</v>
      </c>
      <c r="K1104" t="s">
        <v>15</v>
      </c>
      <c r="L1104">
        <v>83</v>
      </c>
      <c r="M1104">
        <v>182</v>
      </c>
      <c r="N1104">
        <v>75</v>
      </c>
      <c r="O1104">
        <v>26</v>
      </c>
      <c r="P1104" t="s">
        <v>45</v>
      </c>
    </row>
    <row r="1105" spans="1:16" x14ac:dyDescent="0.25">
      <c r="A1105">
        <v>1115</v>
      </c>
      <c r="B1105" s="2">
        <v>44134.811111111114</v>
      </c>
      <c r="C1105" s="2">
        <v>44134.861111111109</v>
      </c>
      <c r="D1105">
        <v>4</v>
      </c>
      <c r="E1105" t="s">
        <v>2</v>
      </c>
      <c r="F1105" t="s">
        <v>1</v>
      </c>
      <c r="G1105" t="s">
        <v>31</v>
      </c>
      <c r="H1105">
        <v>44</v>
      </c>
      <c r="I1105">
        <v>9.0399999999999991</v>
      </c>
      <c r="J1105">
        <v>2.65</v>
      </c>
      <c r="K1105" t="s">
        <v>15</v>
      </c>
      <c r="L1105">
        <v>100</v>
      </c>
      <c r="M1105">
        <v>175</v>
      </c>
      <c r="N1105">
        <v>87</v>
      </c>
      <c r="O1105">
        <v>55</v>
      </c>
      <c r="P1105" t="s">
        <v>44</v>
      </c>
    </row>
    <row r="1106" spans="1:16" x14ac:dyDescent="0.25">
      <c r="A1106">
        <v>1116</v>
      </c>
      <c r="B1106" s="2">
        <v>44134.619444444441</v>
      </c>
      <c r="C1106" s="2">
        <v>44135.34097222222</v>
      </c>
      <c r="D1106">
        <v>4</v>
      </c>
      <c r="E1106" t="s">
        <v>4</v>
      </c>
      <c r="F1106" t="s">
        <v>10</v>
      </c>
      <c r="G1106" t="s">
        <v>33</v>
      </c>
      <c r="H1106">
        <v>56</v>
      </c>
      <c r="I1106">
        <v>1.33</v>
      </c>
      <c r="J1106">
        <v>1.08</v>
      </c>
      <c r="K1106" t="s">
        <v>15</v>
      </c>
      <c r="L1106">
        <v>81</v>
      </c>
      <c r="M1106">
        <v>175</v>
      </c>
      <c r="N1106">
        <v>57</v>
      </c>
      <c r="O1106">
        <v>55</v>
      </c>
      <c r="P1106" t="s">
        <v>44</v>
      </c>
    </row>
    <row r="1107" spans="1:16" x14ac:dyDescent="0.25">
      <c r="A1107">
        <v>1117</v>
      </c>
      <c r="B1107" s="2">
        <v>44134.672222222223</v>
      </c>
      <c r="C1107" s="2">
        <v>44135.347916666666</v>
      </c>
      <c r="D1107">
        <v>5</v>
      </c>
      <c r="E1107" t="s">
        <v>4</v>
      </c>
      <c r="F1107" t="s">
        <v>3</v>
      </c>
      <c r="G1107" t="s">
        <v>35</v>
      </c>
      <c r="H1107">
        <v>49</v>
      </c>
      <c r="I1107">
        <v>1.51</v>
      </c>
      <c r="J1107">
        <v>0.5</v>
      </c>
      <c r="K1107" t="s">
        <v>15</v>
      </c>
      <c r="L1107">
        <v>98</v>
      </c>
      <c r="M1107">
        <v>167</v>
      </c>
      <c r="N1107">
        <v>74</v>
      </c>
      <c r="O1107">
        <v>50</v>
      </c>
      <c r="P1107" t="s">
        <v>46</v>
      </c>
    </row>
    <row r="1108" spans="1:16" x14ac:dyDescent="0.25">
      <c r="A1108">
        <v>1118</v>
      </c>
      <c r="B1108" s="2">
        <v>44134.60833333333</v>
      </c>
      <c r="C1108" s="2">
        <v>44135.519444444442</v>
      </c>
      <c r="D1108">
        <v>5</v>
      </c>
      <c r="E1108" t="s">
        <v>4</v>
      </c>
      <c r="F1108" t="s">
        <v>10</v>
      </c>
      <c r="G1108" t="s">
        <v>35</v>
      </c>
      <c r="H1108">
        <v>61</v>
      </c>
      <c r="I1108">
        <v>1.01</v>
      </c>
      <c r="J1108">
        <v>0.56999999999999995</v>
      </c>
      <c r="K1108" t="s">
        <v>15</v>
      </c>
      <c r="L1108">
        <v>96</v>
      </c>
      <c r="M1108">
        <v>168</v>
      </c>
      <c r="N1108">
        <v>62</v>
      </c>
      <c r="O1108">
        <v>45</v>
      </c>
      <c r="P1108" t="s">
        <v>46</v>
      </c>
    </row>
    <row r="1109" spans="1:16" x14ac:dyDescent="0.25">
      <c r="A1109">
        <v>1119</v>
      </c>
      <c r="B1109" s="2">
        <v>44134.572222222225</v>
      </c>
      <c r="C1109" s="2">
        <v>44135.572916666664</v>
      </c>
      <c r="D1109">
        <v>4</v>
      </c>
      <c r="E1109" t="s">
        <v>4</v>
      </c>
      <c r="F1109" t="s">
        <v>10</v>
      </c>
      <c r="G1109" t="s">
        <v>33</v>
      </c>
      <c r="H1109">
        <v>76</v>
      </c>
      <c r="I1109">
        <v>2.69</v>
      </c>
      <c r="J1109">
        <v>1.19</v>
      </c>
      <c r="K1109" t="s">
        <v>15</v>
      </c>
      <c r="L1109">
        <v>84</v>
      </c>
      <c r="M1109">
        <v>168</v>
      </c>
      <c r="N1109">
        <v>68</v>
      </c>
      <c r="O1109">
        <v>44</v>
      </c>
      <c r="P1109" t="s">
        <v>46</v>
      </c>
    </row>
    <row r="1110" spans="1:16" x14ac:dyDescent="0.25">
      <c r="A1110">
        <v>1120</v>
      </c>
      <c r="B1110" s="2">
        <v>44133.5</v>
      </c>
      <c r="C1110" s="2">
        <v>44136.577777777777</v>
      </c>
      <c r="D1110">
        <v>4</v>
      </c>
      <c r="E1110" t="s">
        <v>2</v>
      </c>
      <c r="F1110" t="s">
        <v>11</v>
      </c>
      <c r="G1110" t="s">
        <v>24</v>
      </c>
      <c r="H1110">
        <v>83</v>
      </c>
      <c r="I1110">
        <v>34.5</v>
      </c>
      <c r="J1110">
        <v>21.12</v>
      </c>
      <c r="K1110" t="s">
        <v>15</v>
      </c>
      <c r="L1110">
        <v>71</v>
      </c>
      <c r="M1110">
        <v>168</v>
      </c>
      <c r="N1110">
        <v>77</v>
      </c>
      <c r="O1110">
        <v>50</v>
      </c>
      <c r="P1110" t="s">
        <v>46</v>
      </c>
    </row>
    <row r="1111" spans="1:16" x14ac:dyDescent="0.25">
      <c r="A1111">
        <v>1121</v>
      </c>
      <c r="B1111" s="2">
        <v>44137.066666666666</v>
      </c>
      <c r="C1111" s="2">
        <v>44137.118055555555</v>
      </c>
      <c r="D1111">
        <v>1</v>
      </c>
      <c r="E1111" t="s">
        <v>2</v>
      </c>
      <c r="F1111" t="s">
        <v>1</v>
      </c>
      <c r="G1111" t="s">
        <v>24</v>
      </c>
      <c r="H1111">
        <v>72</v>
      </c>
      <c r="I1111">
        <v>24.76</v>
      </c>
      <c r="J1111">
        <v>6.19</v>
      </c>
      <c r="K1111" t="s">
        <v>15</v>
      </c>
      <c r="L1111">
        <v>82</v>
      </c>
      <c r="M1111">
        <v>172</v>
      </c>
      <c r="N1111">
        <v>96</v>
      </c>
      <c r="O1111">
        <v>53</v>
      </c>
      <c r="P1111" t="s">
        <v>44</v>
      </c>
    </row>
    <row r="1112" spans="1:16" x14ac:dyDescent="0.25">
      <c r="A1112">
        <v>1122</v>
      </c>
      <c r="B1112" s="2">
        <v>44136.666666666664</v>
      </c>
      <c r="C1112" s="2">
        <v>44137.36041666667</v>
      </c>
      <c r="D1112">
        <v>5</v>
      </c>
      <c r="E1112" t="s">
        <v>4</v>
      </c>
      <c r="F1112" t="s">
        <v>11</v>
      </c>
      <c r="G1112" t="s">
        <v>31</v>
      </c>
      <c r="H1112">
        <v>65</v>
      </c>
      <c r="I1112">
        <v>3.6</v>
      </c>
      <c r="J1112">
        <v>1.33</v>
      </c>
      <c r="K1112" t="s">
        <v>15</v>
      </c>
      <c r="L1112">
        <v>86</v>
      </c>
      <c r="M1112">
        <v>180</v>
      </c>
      <c r="N1112">
        <v>91</v>
      </c>
      <c r="O1112">
        <v>52</v>
      </c>
      <c r="P1112" t="s">
        <v>44</v>
      </c>
    </row>
    <row r="1113" spans="1:16" x14ac:dyDescent="0.25">
      <c r="A1113">
        <v>1123</v>
      </c>
      <c r="B1113" s="2">
        <v>44136.666666666664</v>
      </c>
      <c r="C1113" s="2">
        <v>44137.366666666669</v>
      </c>
      <c r="D1113">
        <v>4</v>
      </c>
      <c r="E1113" t="s">
        <v>4</v>
      </c>
      <c r="F1113" t="s">
        <v>10</v>
      </c>
      <c r="G1113" t="s">
        <v>29</v>
      </c>
      <c r="H1113">
        <v>72</v>
      </c>
      <c r="I1113">
        <v>3.35</v>
      </c>
      <c r="J1113">
        <v>1.41</v>
      </c>
      <c r="K1113" t="s">
        <v>15</v>
      </c>
      <c r="L1113">
        <v>92</v>
      </c>
      <c r="M1113">
        <v>176</v>
      </c>
      <c r="N1113">
        <v>86</v>
      </c>
      <c r="O1113">
        <v>58</v>
      </c>
      <c r="P1113" t="s">
        <v>44</v>
      </c>
    </row>
    <row r="1114" spans="1:16" x14ac:dyDescent="0.25">
      <c r="A1114">
        <v>1124</v>
      </c>
      <c r="B1114" s="2">
        <v>44137.509027777778</v>
      </c>
      <c r="C1114" s="2">
        <v>44137.606944444444</v>
      </c>
      <c r="D1114">
        <v>6</v>
      </c>
      <c r="E1114" t="s">
        <v>2</v>
      </c>
      <c r="F1114" t="s">
        <v>10</v>
      </c>
      <c r="G1114" t="s">
        <v>23</v>
      </c>
      <c r="H1114">
        <v>57</v>
      </c>
      <c r="I1114">
        <v>5.23</v>
      </c>
      <c r="J1114">
        <v>1.3</v>
      </c>
      <c r="K1114" t="s">
        <v>15</v>
      </c>
      <c r="L1114">
        <v>82</v>
      </c>
      <c r="M1114">
        <v>187</v>
      </c>
      <c r="N1114">
        <v>116</v>
      </c>
      <c r="O1114">
        <v>65</v>
      </c>
      <c r="P1114" t="s">
        <v>44</v>
      </c>
    </row>
    <row r="1115" spans="1:16" x14ac:dyDescent="0.25">
      <c r="A1115">
        <v>1125</v>
      </c>
      <c r="B1115" s="2">
        <v>44135.848611111112</v>
      </c>
      <c r="C1115" s="2">
        <v>44138.36041666667</v>
      </c>
      <c r="D1115">
        <v>4</v>
      </c>
      <c r="E1115" t="s">
        <v>6</v>
      </c>
      <c r="F1115" t="s">
        <v>11</v>
      </c>
      <c r="G1115" t="s">
        <v>26</v>
      </c>
      <c r="H1115">
        <v>79</v>
      </c>
      <c r="I1115">
        <v>13.2</v>
      </c>
      <c r="J1115">
        <v>5.94</v>
      </c>
      <c r="K1115" t="s">
        <v>15</v>
      </c>
      <c r="L1115">
        <v>116</v>
      </c>
      <c r="M1115">
        <v>182</v>
      </c>
      <c r="N1115">
        <v>100</v>
      </c>
      <c r="O1115">
        <v>40</v>
      </c>
      <c r="P1115" t="s">
        <v>46</v>
      </c>
    </row>
    <row r="1116" spans="1:16" x14ac:dyDescent="0.25">
      <c r="A1116">
        <v>1126</v>
      </c>
      <c r="B1116" s="2">
        <v>44136.583333333336</v>
      </c>
      <c r="C1116" s="2">
        <v>44138.375</v>
      </c>
      <c r="D1116">
        <v>1</v>
      </c>
      <c r="E1116" t="s">
        <v>6</v>
      </c>
      <c r="F1116" t="s">
        <v>11</v>
      </c>
      <c r="G1116" t="s">
        <v>35</v>
      </c>
      <c r="H1116">
        <v>66</v>
      </c>
      <c r="I1116">
        <v>12.38</v>
      </c>
      <c r="J1116">
        <v>9.89</v>
      </c>
      <c r="K1116" t="s">
        <v>15</v>
      </c>
      <c r="L1116">
        <v>108</v>
      </c>
      <c r="M1116">
        <v>176</v>
      </c>
      <c r="N1116">
        <v>82</v>
      </c>
      <c r="O1116">
        <v>58</v>
      </c>
      <c r="P1116" t="s">
        <v>44</v>
      </c>
    </row>
    <row r="1117" spans="1:16" x14ac:dyDescent="0.25">
      <c r="A1117">
        <v>1127</v>
      </c>
      <c r="B1117" s="2">
        <v>44137.666666666664</v>
      </c>
      <c r="C1117" s="2">
        <v>44138.376388888886</v>
      </c>
      <c r="D1117">
        <v>6</v>
      </c>
      <c r="E1117" t="s">
        <v>4</v>
      </c>
      <c r="F1117" t="s">
        <v>1</v>
      </c>
      <c r="G1117" t="s">
        <v>29</v>
      </c>
      <c r="H1117">
        <v>32</v>
      </c>
      <c r="I1117">
        <v>4.6500000000000004</v>
      </c>
      <c r="J1117">
        <v>1.64</v>
      </c>
      <c r="K1117" t="s">
        <v>15</v>
      </c>
      <c r="L1117">
        <v>124</v>
      </c>
      <c r="M1117">
        <v>172</v>
      </c>
      <c r="N1117">
        <v>84</v>
      </c>
      <c r="O1117">
        <v>60</v>
      </c>
      <c r="P1117" t="s">
        <v>44</v>
      </c>
    </row>
    <row r="1118" spans="1:16" x14ac:dyDescent="0.25">
      <c r="A1118">
        <v>1128</v>
      </c>
      <c r="B1118" s="2">
        <v>44138.530555555553</v>
      </c>
      <c r="C1118" s="2">
        <v>44138.666666666664</v>
      </c>
      <c r="D1118">
        <v>5</v>
      </c>
      <c r="E1118" t="s">
        <v>2</v>
      </c>
      <c r="F1118" t="s">
        <v>1</v>
      </c>
      <c r="G1118" t="s">
        <v>30</v>
      </c>
      <c r="H1118">
        <v>79</v>
      </c>
      <c r="I1118">
        <v>42.07</v>
      </c>
      <c r="J1118">
        <v>9.9499999999999993</v>
      </c>
      <c r="K1118" t="s">
        <v>15</v>
      </c>
      <c r="L1118">
        <v>74</v>
      </c>
      <c r="M1118">
        <v>168</v>
      </c>
      <c r="N1118">
        <v>63</v>
      </c>
      <c r="O1118">
        <v>60</v>
      </c>
      <c r="P1118" t="s">
        <v>44</v>
      </c>
    </row>
    <row r="1119" spans="1:16" x14ac:dyDescent="0.25">
      <c r="A1119">
        <v>1129</v>
      </c>
      <c r="B1119" s="2">
        <v>44131.874305555553</v>
      </c>
      <c r="C1119" s="2">
        <v>44139.375</v>
      </c>
      <c r="D1119">
        <v>6</v>
      </c>
      <c r="E1119" t="s">
        <v>6</v>
      </c>
      <c r="F1119" t="s">
        <v>10</v>
      </c>
      <c r="G1119" t="s">
        <v>24</v>
      </c>
      <c r="H1119">
        <v>55</v>
      </c>
      <c r="I1119">
        <v>5.46</v>
      </c>
      <c r="J1119">
        <v>3.93</v>
      </c>
      <c r="K1119" t="s">
        <v>15</v>
      </c>
      <c r="L1119">
        <v>87</v>
      </c>
      <c r="M1119">
        <v>178</v>
      </c>
      <c r="N1119">
        <v>63</v>
      </c>
      <c r="O1119">
        <v>28</v>
      </c>
      <c r="P1119" t="s">
        <v>45</v>
      </c>
    </row>
    <row r="1120" spans="1:16" x14ac:dyDescent="0.25">
      <c r="A1120">
        <v>1130</v>
      </c>
      <c r="B1120" s="2">
        <v>44137.569444444445</v>
      </c>
      <c r="C1120" s="2">
        <v>44139.541666666664</v>
      </c>
      <c r="D1120">
        <v>1</v>
      </c>
      <c r="E1120" t="s">
        <v>6</v>
      </c>
      <c r="F1120" t="s">
        <v>10</v>
      </c>
      <c r="G1120" t="s">
        <v>30</v>
      </c>
      <c r="H1120">
        <v>77</v>
      </c>
      <c r="I1120">
        <v>4.8499999999999996</v>
      </c>
      <c r="J1120">
        <v>1.44</v>
      </c>
      <c r="K1120" t="s">
        <v>15</v>
      </c>
      <c r="L1120">
        <v>96</v>
      </c>
      <c r="M1120">
        <v>154</v>
      </c>
      <c r="N1120">
        <v>66</v>
      </c>
      <c r="O1120">
        <v>59</v>
      </c>
      <c r="P1120" t="s">
        <v>44</v>
      </c>
    </row>
    <row r="1121" spans="1:16" x14ac:dyDescent="0.25">
      <c r="A1121">
        <v>1131</v>
      </c>
      <c r="B1121" s="2">
        <v>44138.686111111114</v>
      </c>
      <c r="C1121" s="2">
        <v>44139.706250000003</v>
      </c>
      <c r="D1121">
        <v>5</v>
      </c>
      <c r="E1121" t="s">
        <v>2</v>
      </c>
      <c r="F1121" t="s">
        <v>10</v>
      </c>
      <c r="G1121" t="s">
        <v>28</v>
      </c>
      <c r="H1121">
        <v>43</v>
      </c>
      <c r="I1121">
        <v>10.74</v>
      </c>
      <c r="J1121">
        <v>4.41</v>
      </c>
      <c r="K1121" t="s">
        <v>15</v>
      </c>
      <c r="L1121">
        <v>107</v>
      </c>
      <c r="M1121">
        <v>180</v>
      </c>
      <c r="N1121">
        <v>83</v>
      </c>
      <c r="O1121">
        <v>51</v>
      </c>
      <c r="P1121" t="s">
        <v>44</v>
      </c>
    </row>
    <row r="1122" spans="1:16" x14ac:dyDescent="0.25">
      <c r="A1122">
        <v>1132</v>
      </c>
      <c r="B1122" s="2">
        <v>44134.708333333336</v>
      </c>
      <c r="C1122" s="2">
        <v>44140.324305555558</v>
      </c>
      <c r="D1122">
        <v>3</v>
      </c>
      <c r="E1122" t="s">
        <v>6</v>
      </c>
      <c r="F1122" t="s">
        <v>3</v>
      </c>
      <c r="G1122" t="s">
        <v>35</v>
      </c>
      <c r="H1122">
        <v>76</v>
      </c>
      <c r="I1122">
        <v>16.12</v>
      </c>
      <c r="J1122">
        <v>14.72</v>
      </c>
      <c r="K1122" t="s">
        <v>13</v>
      </c>
      <c r="L1122">
        <v>92</v>
      </c>
      <c r="M1122">
        <v>180</v>
      </c>
      <c r="N1122">
        <v>90</v>
      </c>
      <c r="O1122">
        <v>15</v>
      </c>
      <c r="P1122" t="s">
        <v>47</v>
      </c>
    </row>
    <row r="1123" spans="1:16" x14ac:dyDescent="0.25">
      <c r="A1123">
        <v>1133</v>
      </c>
      <c r="B1123" s="2">
        <v>44139.666666666664</v>
      </c>
      <c r="C1123" s="2">
        <v>44140.329861111109</v>
      </c>
      <c r="D1123">
        <v>6</v>
      </c>
      <c r="E1123" t="s">
        <v>4</v>
      </c>
      <c r="F1123" t="s">
        <v>11</v>
      </c>
      <c r="G1123" t="s">
        <v>23</v>
      </c>
      <c r="H1123">
        <v>77</v>
      </c>
      <c r="I1123">
        <v>4.83</v>
      </c>
      <c r="J1123">
        <v>2.5099999999999998</v>
      </c>
      <c r="K1123" t="s">
        <v>15</v>
      </c>
      <c r="L1123">
        <v>106</v>
      </c>
      <c r="M1123">
        <v>185</v>
      </c>
      <c r="N1123">
        <v>89</v>
      </c>
      <c r="O1123">
        <v>40</v>
      </c>
      <c r="P1123" t="s">
        <v>46</v>
      </c>
    </row>
    <row r="1124" spans="1:16" x14ac:dyDescent="0.25">
      <c r="A1124">
        <v>1134</v>
      </c>
      <c r="B1124" s="2">
        <v>44139.666666666664</v>
      </c>
      <c r="C1124" s="2">
        <v>44140.333333333336</v>
      </c>
      <c r="D1124">
        <v>1</v>
      </c>
      <c r="E1124" t="s">
        <v>4</v>
      </c>
      <c r="F1124" t="s">
        <v>10</v>
      </c>
      <c r="G1124" t="s">
        <v>34</v>
      </c>
      <c r="H1124">
        <v>72</v>
      </c>
      <c r="I1124">
        <v>2.86</v>
      </c>
      <c r="J1124">
        <v>1.18</v>
      </c>
      <c r="K1124" t="s">
        <v>15</v>
      </c>
      <c r="L1124">
        <v>68</v>
      </c>
      <c r="M1124">
        <v>182</v>
      </c>
      <c r="N1124">
        <v>106</v>
      </c>
      <c r="O1124">
        <v>50</v>
      </c>
      <c r="P1124" t="s">
        <v>46</v>
      </c>
    </row>
    <row r="1125" spans="1:16" x14ac:dyDescent="0.25">
      <c r="A1125">
        <v>1135</v>
      </c>
      <c r="B1125" s="2">
        <v>44137.412499999999</v>
      </c>
      <c r="C1125" s="2">
        <v>44140.340277777781</v>
      </c>
      <c r="D1125">
        <v>5</v>
      </c>
      <c r="E1125" t="s">
        <v>6</v>
      </c>
      <c r="F1125" t="s">
        <v>10</v>
      </c>
      <c r="G1125" t="s">
        <v>31</v>
      </c>
      <c r="H1125">
        <v>78</v>
      </c>
      <c r="I1125">
        <v>8.18</v>
      </c>
      <c r="J1125">
        <v>2.4</v>
      </c>
      <c r="K1125" t="s">
        <v>15</v>
      </c>
      <c r="L1125">
        <v>120</v>
      </c>
      <c r="M1125">
        <v>174</v>
      </c>
      <c r="N1125">
        <v>93</v>
      </c>
      <c r="O1125">
        <v>55</v>
      </c>
      <c r="P1125" t="s">
        <v>44</v>
      </c>
    </row>
    <row r="1126" spans="1:16" x14ac:dyDescent="0.25">
      <c r="A1126">
        <v>1136</v>
      </c>
      <c r="B1126" s="2">
        <v>44138.583333333336</v>
      </c>
      <c r="C1126" s="2">
        <v>44140.345138888886</v>
      </c>
      <c r="D1126">
        <v>4</v>
      </c>
      <c r="E1126" t="s">
        <v>6</v>
      </c>
      <c r="F1126" t="s">
        <v>10</v>
      </c>
      <c r="G1126" t="s">
        <v>21</v>
      </c>
      <c r="H1126">
        <v>76</v>
      </c>
      <c r="I1126">
        <v>4.55</v>
      </c>
      <c r="J1126">
        <v>2.27</v>
      </c>
      <c r="K1126" t="s">
        <v>15</v>
      </c>
      <c r="L1126">
        <v>76</v>
      </c>
      <c r="M1126">
        <v>173</v>
      </c>
      <c r="N1126">
        <v>90</v>
      </c>
      <c r="O1126">
        <v>64</v>
      </c>
      <c r="P1126" t="s">
        <v>44</v>
      </c>
    </row>
    <row r="1127" spans="1:16" x14ac:dyDescent="0.25">
      <c r="A1127">
        <v>1137</v>
      </c>
      <c r="B1127" s="2">
        <v>44138.583333333336</v>
      </c>
      <c r="C1127" s="2">
        <v>44140.635416666664</v>
      </c>
      <c r="D1127">
        <v>6</v>
      </c>
      <c r="E1127" t="s">
        <v>2</v>
      </c>
      <c r="F1127" t="s">
        <v>10</v>
      </c>
      <c r="G1127" t="s">
        <v>23</v>
      </c>
      <c r="H1127">
        <v>74</v>
      </c>
      <c r="I1127">
        <v>7.84</v>
      </c>
      <c r="J1127">
        <v>1.74</v>
      </c>
      <c r="K1127" t="s">
        <v>15</v>
      </c>
      <c r="L1127">
        <v>105</v>
      </c>
      <c r="M1127">
        <v>177</v>
      </c>
      <c r="N1127">
        <v>77</v>
      </c>
      <c r="O1127">
        <v>59</v>
      </c>
      <c r="P1127" t="s">
        <v>44</v>
      </c>
    </row>
    <row r="1128" spans="1:16" x14ac:dyDescent="0.25">
      <c r="A1128">
        <v>1138</v>
      </c>
      <c r="B1128" s="2">
        <v>44140.666666666664</v>
      </c>
      <c r="C1128" s="2">
        <v>44141.331944444442</v>
      </c>
      <c r="D1128">
        <v>1</v>
      </c>
      <c r="E1128" t="s">
        <v>4</v>
      </c>
      <c r="F1128" t="s">
        <v>3</v>
      </c>
      <c r="G1128" t="s">
        <v>26</v>
      </c>
      <c r="H1128">
        <v>51</v>
      </c>
      <c r="I1128">
        <v>1.51</v>
      </c>
      <c r="J1128">
        <v>1.45</v>
      </c>
      <c r="K1128" t="s">
        <v>15</v>
      </c>
      <c r="L1128">
        <v>62</v>
      </c>
      <c r="M1128">
        <v>154</v>
      </c>
      <c r="N1128">
        <v>75</v>
      </c>
      <c r="O1128">
        <v>45</v>
      </c>
      <c r="P1128" t="s">
        <v>46</v>
      </c>
    </row>
    <row r="1129" spans="1:16" x14ac:dyDescent="0.25">
      <c r="A1129">
        <v>1139</v>
      </c>
      <c r="B1129" s="2">
        <v>44135.550694444442</v>
      </c>
      <c r="C1129" s="2">
        <v>44141.337500000001</v>
      </c>
      <c r="D1129">
        <v>5</v>
      </c>
      <c r="E1129" t="s">
        <v>6</v>
      </c>
      <c r="F1129" t="s">
        <v>10</v>
      </c>
      <c r="G1129" t="s">
        <v>30</v>
      </c>
      <c r="H1129">
        <v>57</v>
      </c>
      <c r="I1129">
        <v>6.28</v>
      </c>
      <c r="J1129">
        <v>4.0199999999999996</v>
      </c>
      <c r="K1129" t="s">
        <v>15</v>
      </c>
      <c r="L1129">
        <v>79</v>
      </c>
      <c r="M1129">
        <v>159</v>
      </c>
      <c r="N1129">
        <v>58</v>
      </c>
      <c r="O1129">
        <v>76</v>
      </c>
      <c r="P1129" t="s">
        <v>44</v>
      </c>
    </row>
    <row r="1130" spans="1:16" x14ac:dyDescent="0.25">
      <c r="A1130">
        <v>1140</v>
      </c>
      <c r="B1130" s="2">
        <v>44137.576388888891</v>
      </c>
      <c r="C1130" s="2">
        <v>44141.340277777781</v>
      </c>
      <c r="D1130">
        <v>6</v>
      </c>
      <c r="E1130" t="s">
        <v>6</v>
      </c>
      <c r="F1130" t="s">
        <v>10</v>
      </c>
      <c r="G1130" t="s">
        <v>24</v>
      </c>
      <c r="H1130">
        <v>77</v>
      </c>
      <c r="I1130">
        <v>7.33</v>
      </c>
      <c r="J1130">
        <v>5.87</v>
      </c>
      <c r="K1130" t="s">
        <v>13</v>
      </c>
      <c r="L1130">
        <v>66</v>
      </c>
      <c r="M1130">
        <v>151</v>
      </c>
      <c r="N1130">
        <v>86</v>
      </c>
      <c r="O1130">
        <v>55</v>
      </c>
      <c r="P1130" t="s">
        <v>44</v>
      </c>
    </row>
    <row r="1131" spans="1:16" x14ac:dyDescent="0.25">
      <c r="A1131">
        <v>1141</v>
      </c>
      <c r="B1131" s="2">
        <v>44140.708333333336</v>
      </c>
      <c r="C1131" s="2">
        <v>44141.397916666669</v>
      </c>
      <c r="D1131">
        <v>4</v>
      </c>
      <c r="E1131" t="s">
        <v>4</v>
      </c>
      <c r="F1131" t="s">
        <v>10</v>
      </c>
      <c r="G1131" t="s">
        <v>21</v>
      </c>
      <c r="H1131">
        <v>63</v>
      </c>
      <c r="I1131">
        <v>1.1499999999999999</v>
      </c>
      <c r="J1131">
        <v>0.82</v>
      </c>
      <c r="K1131" t="s">
        <v>15</v>
      </c>
      <c r="L1131">
        <v>136</v>
      </c>
      <c r="M1131">
        <v>158</v>
      </c>
      <c r="N1131">
        <v>57</v>
      </c>
      <c r="O1131">
        <v>55</v>
      </c>
      <c r="P1131" t="s">
        <v>44</v>
      </c>
    </row>
    <row r="1132" spans="1:16" x14ac:dyDescent="0.25">
      <c r="A1132">
        <v>1142</v>
      </c>
      <c r="B1132" s="2">
        <v>44140.291666666664</v>
      </c>
      <c r="C1132" s="2">
        <v>44141.524305555555</v>
      </c>
      <c r="D1132">
        <v>5</v>
      </c>
      <c r="E1132" t="s">
        <v>4</v>
      </c>
      <c r="F1132" t="s">
        <v>10</v>
      </c>
      <c r="G1132" t="s">
        <v>31</v>
      </c>
      <c r="H1132">
        <v>73</v>
      </c>
      <c r="I1132">
        <v>2.21</v>
      </c>
      <c r="J1132">
        <v>0.81</v>
      </c>
      <c r="K1132" t="s">
        <v>15</v>
      </c>
      <c r="L1132">
        <v>65</v>
      </c>
      <c r="M1132">
        <v>164</v>
      </c>
      <c r="N1132">
        <v>61</v>
      </c>
      <c r="O1132">
        <v>45</v>
      </c>
      <c r="P1132" t="s">
        <v>46</v>
      </c>
    </row>
    <row r="1133" spans="1:16" x14ac:dyDescent="0.25">
      <c r="A1133">
        <v>1143</v>
      </c>
      <c r="B1133" s="2">
        <v>44141.583333333336</v>
      </c>
      <c r="C1133" s="2">
        <v>44142.335416666669</v>
      </c>
      <c r="D1133">
        <v>5</v>
      </c>
      <c r="E1133" t="s">
        <v>4</v>
      </c>
      <c r="F1133" t="s">
        <v>3</v>
      </c>
      <c r="G1133" t="s">
        <v>23</v>
      </c>
      <c r="H1133">
        <v>62</v>
      </c>
      <c r="I1133">
        <v>2.5299999999999998</v>
      </c>
      <c r="J1133">
        <v>0.66</v>
      </c>
      <c r="K1133" t="s">
        <v>15</v>
      </c>
      <c r="L1133">
        <v>83</v>
      </c>
      <c r="M1133">
        <v>161</v>
      </c>
      <c r="N1133">
        <v>92</v>
      </c>
      <c r="O1133">
        <v>55</v>
      </c>
      <c r="P1133" t="s">
        <v>44</v>
      </c>
    </row>
    <row r="1134" spans="1:16" x14ac:dyDescent="0.25">
      <c r="A1134">
        <v>1144</v>
      </c>
      <c r="B1134" s="2">
        <v>44142.291666666664</v>
      </c>
      <c r="C1134" s="2">
        <v>44142.465277777781</v>
      </c>
      <c r="D1134">
        <v>4</v>
      </c>
      <c r="E1134" t="s">
        <v>4</v>
      </c>
      <c r="F1134" t="s">
        <v>3</v>
      </c>
      <c r="G1134" t="s">
        <v>23</v>
      </c>
      <c r="H1134">
        <v>70</v>
      </c>
      <c r="I1134">
        <v>6.31</v>
      </c>
      <c r="J1134">
        <v>1.7</v>
      </c>
      <c r="K1134" t="s">
        <v>15</v>
      </c>
      <c r="L1134">
        <v>74</v>
      </c>
      <c r="M1134">
        <v>151</v>
      </c>
      <c r="N1134">
        <v>54</v>
      </c>
      <c r="O1134">
        <v>35</v>
      </c>
      <c r="P1134" t="s">
        <v>46</v>
      </c>
    </row>
    <row r="1135" spans="1:16" x14ac:dyDescent="0.25">
      <c r="A1135">
        <v>1145</v>
      </c>
      <c r="B1135" s="2">
        <v>44143.666666666664</v>
      </c>
      <c r="C1135" s="2">
        <v>44144.336805555555</v>
      </c>
      <c r="D1135">
        <v>6</v>
      </c>
      <c r="E1135" t="s">
        <v>4</v>
      </c>
      <c r="F1135" t="s">
        <v>1</v>
      </c>
      <c r="G1135" t="s">
        <v>23</v>
      </c>
      <c r="H1135">
        <v>56</v>
      </c>
      <c r="I1135">
        <v>11.73</v>
      </c>
      <c r="J1135">
        <v>4.87</v>
      </c>
      <c r="K1135" t="s">
        <v>15</v>
      </c>
      <c r="L1135">
        <v>95</v>
      </c>
      <c r="M1135">
        <v>178</v>
      </c>
      <c r="N1135">
        <v>103</v>
      </c>
      <c r="O1135">
        <v>66</v>
      </c>
      <c r="P1135" t="s">
        <v>44</v>
      </c>
    </row>
    <row r="1136" spans="1:16" x14ac:dyDescent="0.25">
      <c r="A1136">
        <v>1146</v>
      </c>
      <c r="B1136" s="2">
        <v>44143.583333333336</v>
      </c>
      <c r="C1136" s="2">
        <v>44144.347222222219</v>
      </c>
      <c r="D1136">
        <v>3</v>
      </c>
      <c r="E1136" t="s">
        <v>4</v>
      </c>
      <c r="F1136" t="s">
        <v>3</v>
      </c>
      <c r="G1136" t="s">
        <v>30</v>
      </c>
      <c r="H1136">
        <v>39</v>
      </c>
      <c r="I1136">
        <v>2.27</v>
      </c>
      <c r="J1136">
        <v>0.76</v>
      </c>
      <c r="K1136" t="s">
        <v>15</v>
      </c>
      <c r="L1136">
        <v>159</v>
      </c>
      <c r="M1136">
        <v>176</v>
      </c>
      <c r="N1136">
        <v>96</v>
      </c>
      <c r="O1136">
        <v>35</v>
      </c>
      <c r="P1136" t="s">
        <v>46</v>
      </c>
    </row>
    <row r="1137" spans="1:16" x14ac:dyDescent="0.25">
      <c r="A1137">
        <v>1147</v>
      </c>
      <c r="B1137" s="2">
        <v>44143.666666666664</v>
      </c>
      <c r="C1137" s="2">
        <v>44144.347222222219</v>
      </c>
      <c r="D1137">
        <v>1</v>
      </c>
      <c r="E1137" t="s">
        <v>4</v>
      </c>
      <c r="F1137" t="s">
        <v>3</v>
      </c>
      <c r="G1137" t="s">
        <v>33</v>
      </c>
      <c r="H1137">
        <v>30</v>
      </c>
      <c r="I1137">
        <v>1.51</v>
      </c>
      <c r="J1137">
        <v>1.75</v>
      </c>
      <c r="K1137" t="s">
        <v>15</v>
      </c>
      <c r="L1137">
        <v>83</v>
      </c>
      <c r="M1137">
        <v>168</v>
      </c>
      <c r="N1137">
        <v>82</v>
      </c>
      <c r="O1137">
        <v>60</v>
      </c>
      <c r="P1137" t="s">
        <v>44</v>
      </c>
    </row>
    <row r="1138" spans="1:16" x14ac:dyDescent="0.25">
      <c r="A1138">
        <v>1148</v>
      </c>
      <c r="B1138" s="2">
        <v>44136.423611111109</v>
      </c>
      <c r="C1138" s="2">
        <v>44144.369444444441</v>
      </c>
      <c r="D1138">
        <v>4</v>
      </c>
      <c r="E1138" t="s">
        <v>6</v>
      </c>
      <c r="F1138" t="s">
        <v>10</v>
      </c>
      <c r="G1138" t="s">
        <v>35</v>
      </c>
      <c r="H1138">
        <v>67</v>
      </c>
      <c r="I1138">
        <v>5.24</v>
      </c>
      <c r="J1138">
        <v>4.16</v>
      </c>
      <c r="K1138" t="s">
        <v>15</v>
      </c>
      <c r="L1138">
        <v>83</v>
      </c>
      <c r="M1138">
        <v>164</v>
      </c>
      <c r="N1138">
        <v>72</v>
      </c>
      <c r="O1138">
        <v>29</v>
      </c>
      <c r="P1138" t="s">
        <v>45</v>
      </c>
    </row>
    <row r="1139" spans="1:16" x14ac:dyDescent="0.25">
      <c r="A1139">
        <v>1149</v>
      </c>
      <c r="B1139" s="2">
        <v>44136.5</v>
      </c>
      <c r="C1139" s="2">
        <v>44144.645833333336</v>
      </c>
      <c r="D1139">
        <v>5</v>
      </c>
      <c r="E1139" t="s">
        <v>6</v>
      </c>
      <c r="F1139" t="s">
        <v>10</v>
      </c>
      <c r="G1139" t="s">
        <v>31</v>
      </c>
      <c r="H1139">
        <v>76</v>
      </c>
      <c r="I1139">
        <v>25.86</v>
      </c>
      <c r="J1139">
        <v>4.8</v>
      </c>
      <c r="K1139" t="s">
        <v>15</v>
      </c>
      <c r="L1139">
        <v>99</v>
      </c>
      <c r="M1139">
        <v>155</v>
      </c>
      <c r="N1139">
        <v>81</v>
      </c>
      <c r="O1139">
        <v>45</v>
      </c>
      <c r="P1139" t="s">
        <v>46</v>
      </c>
    </row>
    <row r="1140" spans="1:16" x14ac:dyDescent="0.25">
      <c r="A1140">
        <v>1150</v>
      </c>
      <c r="B1140" s="2">
        <v>44142.4375</v>
      </c>
      <c r="C1140" s="2">
        <v>44144.680555555555</v>
      </c>
      <c r="D1140">
        <v>3</v>
      </c>
      <c r="E1140" t="s">
        <v>2</v>
      </c>
      <c r="F1140" t="s">
        <v>8</v>
      </c>
      <c r="G1140" t="s">
        <v>23</v>
      </c>
      <c r="H1140">
        <v>37</v>
      </c>
      <c r="I1140">
        <v>1.78</v>
      </c>
      <c r="J1140">
        <v>1.01</v>
      </c>
      <c r="K1140" t="s">
        <v>15</v>
      </c>
      <c r="L1140">
        <v>68</v>
      </c>
      <c r="M1140">
        <v>171</v>
      </c>
      <c r="N1140">
        <v>87</v>
      </c>
      <c r="O1140">
        <v>26</v>
      </c>
      <c r="P1140" t="s">
        <v>45</v>
      </c>
    </row>
    <row r="1141" spans="1:16" x14ac:dyDescent="0.25">
      <c r="A1141">
        <v>1151</v>
      </c>
      <c r="B1141" s="2">
        <v>44144.677083333336</v>
      </c>
      <c r="C1141" s="2">
        <v>44145.357638888891</v>
      </c>
      <c r="D1141">
        <v>6</v>
      </c>
      <c r="E1141" t="s">
        <v>4</v>
      </c>
      <c r="F1141" t="s">
        <v>3</v>
      </c>
      <c r="G1141" t="s">
        <v>29</v>
      </c>
      <c r="H1141">
        <v>75</v>
      </c>
      <c r="I1141">
        <v>19.239999999999998</v>
      </c>
      <c r="J1141">
        <v>7.54</v>
      </c>
      <c r="K1141" t="s">
        <v>15</v>
      </c>
      <c r="L1141">
        <v>80</v>
      </c>
      <c r="M1141">
        <v>151</v>
      </c>
      <c r="N1141">
        <v>87</v>
      </c>
      <c r="O1141">
        <v>45</v>
      </c>
      <c r="P1141" t="s">
        <v>46</v>
      </c>
    </row>
    <row r="1142" spans="1:16" x14ac:dyDescent="0.25">
      <c r="A1142">
        <v>1152</v>
      </c>
      <c r="B1142" s="2">
        <v>44130.458333333336</v>
      </c>
      <c r="C1142" s="2">
        <v>44146.347222222219</v>
      </c>
      <c r="D1142">
        <v>6</v>
      </c>
      <c r="E1142" t="s">
        <v>6</v>
      </c>
      <c r="F1142" t="s">
        <v>10</v>
      </c>
      <c r="G1142" t="s">
        <v>24</v>
      </c>
      <c r="H1142">
        <v>66</v>
      </c>
      <c r="I1142">
        <v>3.85</v>
      </c>
      <c r="J1142">
        <v>2.4700000000000002</v>
      </c>
      <c r="K1142" t="s">
        <v>15</v>
      </c>
      <c r="L1142">
        <v>68</v>
      </c>
      <c r="M1142">
        <v>166</v>
      </c>
      <c r="N1142">
        <v>81</v>
      </c>
      <c r="O1142">
        <v>36</v>
      </c>
      <c r="P1142" t="s">
        <v>46</v>
      </c>
    </row>
    <row r="1143" spans="1:16" x14ac:dyDescent="0.25">
      <c r="A1143">
        <v>1153</v>
      </c>
      <c r="B1143" s="2">
        <v>44129.661805555559</v>
      </c>
      <c r="C1143" s="2">
        <v>44146.347222222219</v>
      </c>
      <c r="D1143">
        <v>1</v>
      </c>
      <c r="E1143" t="s">
        <v>6</v>
      </c>
      <c r="F1143" t="s">
        <v>3</v>
      </c>
      <c r="G1143" t="s">
        <v>27</v>
      </c>
      <c r="H1143">
        <v>63</v>
      </c>
      <c r="I1143">
        <v>11.38</v>
      </c>
      <c r="J1143">
        <v>6.12</v>
      </c>
      <c r="K1143" t="s">
        <v>15</v>
      </c>
      <c r="L1143">
        <v>96</v>
      </c>
      <c r="M1143">
        <v>164</v>
      </c>
      <c r="N1143">
        <v>72</v>
      </c>
      <c r="O1143">
        <v>60</v>
      </c>
      <c r="P1143" t="s">
        <v>44</v>
      </c>
    </row>
    <row r="1144" spans="1:16" x14ac:dyDescent="0.25">
      <c r="A1144">
        <v>1154</v>
      </c>
      <c r="B1144" s="2">
        <v>44146.654861111114</v>
      </c>
      <c r="C1144" s="2">
        <v>44147.332638888889</v>
      </c>
      <c r="D1144">
        <v>5</v>
      </c>
      <c r="E1144" t="s">
        <v>4</v>
      </c>
      <c r="F1144" t="s">
        <v>10</v>
      </c>
      <c r="G1144" t="s">
        <v>31</v>
      </c>
      <c r="H1144">
        <v>66</v>
      </c>
      <c r="I1144">
        <v>2.11</v>
      </c>
      <c r="J1144">
        <v>3.58</v>
      </c>
      <c r="K1144" t="s">
        <v>15</v>
      </c>
      <c r="L1144">
        <v>104</v>
      </c>
      <c r="M1144">
        <v>170</v>
      </c>
      <c r="N1144">
        <v>67</v>
      </c>
      <c r="O1144">
        <v>55</v>
      </c>
      <c r="P1144" t="s">
        <v>44</v>
      </c>
    </row>
    <row r="1145" spans="1:16" x14ac:dyDescent="0.25">
      <c r="A1145">
        <v>1155</v>
      </c>
      <c r="B1145" s="2">
        <v>44146.67291666667</v>
      </c>
      <c r="C1145" s="2">
        <v>44147.333333333336</v>
      </c>
      <c r="D1145">
        <v>6</v>
      </c>
      <c r="E1145" t="s">
        <v>4</v>
      </c>
      <c r="F1145" t="s">
        <v>1</v>
      </c>
      <c r="G1145" t="s">
        <v>23</v>
      </c>
      <c r="H1145">
        <v>78</v>
      </c>
      <c r="I1145">
        <v>19.39</v>
      </c>
      <c r="J1145">
        <v>1.98</v>
      </c>
      <c r="K1145" t="s">
        <v>15</v>
      </c>
      <c r="L1145">
        <v>79</v>
      </c>
      <c r="M1145">
        <v>170</v>
      </c>
      <c r="N1145">
        <v>102</v>
      </c>
      <c r="O1145">
        <v>38</v>
      </c>
      <c r="P1145" t="s">
        <v>46</v>
      </c>
    </row>
    <row r="1146" spans="1:16" x14ac:dyDescent="0.25">
      <c r="A1146">
        <v>1156</v>
      </c>
      <c r="B1146" s="2">
        <v>44144.463888888888</v>
      </c>
      <c r="C1146" s="2">
        <v>44147.339583333334</v>
      </c>
      <c r="D1146">
        <v>4</v>
      </c>
      <c r="E1146" t="s">
        <v>6</v>
      </c>
      <c r="F1146" t="s">
        <v>10</v>
      </c>
      <c r="G1146" t="s">
        <v>21</v>
      </c>
      <c r="H1146">
        <v>67</v>
      </c>
      <c r="I1146">
        <v>1.49</v>
      </c>
      <c r="J1146">
        <v>0.84</v>
      </c>
      <c r="K1146" t="s">
        <v>15</v>
      </c>
      <c r="L1146">
        <v>97</v>
      </c>
      <c r="M1146">
        <v>185</v>
      </c>
      <c r="N1146">
        <v>101</v>
      </c>
      <c r="O1146">
        <v>55</v>
      </c>
      <c r="P1146" t="s">
        <v>44</v>
      </c>
    </row>
    <row r="1147" spans="1:16" x14ac:dyDescent="0.25">
      <c r="A1147">
        <v>1157</v>
      </c>
      <c r="B1147" s="2">
        <v>44146.636805555558</v>
      </c>
      <c r="C1147" s="2">
        <v>44147.34375</v>
      </c>
      <c r="D1147">
        <v>1</v>
      </c>
      <c r="E1147" t="s">
        <v>4</v>
      </c>
      <c r="F1147" t="s">
        <v>3</v>
      </c>
      <c r="G1147" t="s">
        <v>34</v>
      </c>
      <c r="H1147">
        <v>77</v>
      </c>
      <c r="I1147">
        <v>4.83</v>
      </c>
      <c r="J1147">
        <v>1.22</v>
      </c>
      <c r="K1147" t="s">
        <v>15</v>
      </c>
      <c r="L1147">
        <v>69</v>
      </c>
      <c r="M1147">
        <v>160</v>
      </c>
      <c r="N1147">
        <v>72</v>
      </c>
      <c r="O1147">
        <v>58</v>
      </c>
      <c r="P1147" t="s">
        <v>44</v>
      </c>
    </row>
    <row r="1148" spans="1:16" x14ac:dyDescent="0.25">
      <c r="A1148">
        <v>1158</v>
      </c>
      <c r="B1148" s="2">
        <v>44122.011805555558</v>
      </c>
      <c r="C1148" s="2">
        <v>44147.34375</v>
      </c>
      <c r="D1148">
        <v>3</v>
      </c>
      <c r="E1148" t="s">
        <v>6</v>
      </c>
      <c r="F1148" t="s">
        <v>11</v>
      </c>
      <c r="G1148" t="s">
        <v>30</v>
      </c>
      <c r="H1148">
        <v>70</v>
      </c>
      <c r="I1148">
        <v>1.82</v>
      </c>
      <c r="J1148">
        <v>0.91</v>
      </c>
      <c r="K1148" t="s">
        <v>15</v>
      </c>
      <c r="L1148">
        <v>64</v>
      </c>
      <c r="M1148">
        <v>180</v>
      </c>
      <c r="N1148">
        <v>95</v>
      </c>
      <c r="O1148">
        <v>50</v>
      </c>
      <c r="P1148" t="s">
        <v>46</v>
      </c>
    </row>
    <row r="1149" spans="1:16" x14ac:dyDescent="0.25">
      <c r="A1149">
        <v>1159</v>
      </c>
      <c r="B1149" s="2">
        <v>44147.28125</v>
      </c>
      <c r="C1149" s="2">
        <v>44147.59375</v>
      </c>
      <c r="D1149">
        <v>4</v>
      </c>
      <c r="E1149" t="s">
        <v>4</v>
      </c>
      <c r="F1149" t="s">
        <v>10</v>
      </c>
      <c r="G1149" t="s">
        <v>21</v>
      </c>
      <c r="H1149">
        <v>73</v>
      </c>
      <c r="I1149">
        <v>2.21</v>
      </c>
      <c r="J1149">
        <v>0.72</v>
      </c>
      <c r="K1149" t="s">
        <v>15</v>
      </c>
      <c r="L1149">
        <v>62</v>
      </c>
      <c r="M1149">
        <v>188</v>
      </c>
      <c r="N1149">
        <v>102</v>
      </c>
      <c r="O1149">
        <v>45</v>
      </c>
      <c r="P1149" t="s">
        <v>46</v>
      </c>
    </row>
    <row r="1150" spans="1:16" x14ac:dyDescent="0.25">
      <c r="A1150">
        <v>1160</v>
      </c>
      <c r="B1150" s="2">
        <v>44147.686805555553</v>
      </c>
      <c r="C1150" s="2">
        <v>44147.704861111109</v>
      </c>
      <c r="D1150">
        <v>1</v>
      </c>
      <c r="E1150" t="s">
        <v>2</v>
      </c>
      <c r="F1150" t="s">
        <v>1</v>
      </c>
      <c r="G1150" t="s">
        <v>24</v>
      </c>
      <c r="H1150">
        <v>53</v>
      </c>
      <c r="I1150">
        <v>9.0399999999999991</v>
      </c>
      <c r="J1150">
        <v>1.92</v>
      </c>
      <c r="K1150" t="s">
        <v>15</v>
      </c>
      <c r="L1150">
        <v>84</v>
      </c>
      <c r="M1150">
        <v>172</v>
      </c>
      <c r="N1150">
        <v>92</v>
      </c>
      <c r="O1150">
        <v>50</v>
      </c>
      <c r="P1150" t="s">
        <v>46</v>
      </c>
    </row>
    <row r="1151" spans="1:16" x14ac:dyDescent="0.25">
      <c r="A1151">
        <v>1161</v>
      </c>
      <c r="B1151" s="2">
        <v>44147.666666666664</v>
      </c>
      <c r="C1151" s="2">
        <v>44148.338194444441</v>
      </c>
      <c r="D1151">
        <v>4</v>
      </c>
      <c r="E1151" t="s">
        <v>4</v>
      </c>
      <c r="F1151" t="s">
        <v>3</v>
      </c>
      <c r="G1151" t="s">
        <v>21</v>
      </c>
      <c r="H1151">
        <v>81</v>
      </c>
      <c r="I1151">
        <v>6.21</v>
      </c>
      <c r="J1151">
        <v>2.36</v>
      </c>
      <c r="K1151" t="s">
        <v>15</v>
      </c>
      <c r="L1151">
        <v>144</v>
      </c>
      <c r="M1151">
        <v>166</v>
      </c>
      <c r="N1151">
        <v>57</v>
      </c>
      <c r="O1151">
        <v>55</v>
      </c>
      <c r="P1151" t="s">
        <v>44</v>
      </c>
    </row>
    <row r="1152" spans="1:16" x14ac:dyDescent="0.25">
      <c r="A1152">
        <v>1162</v>
      </c>
      <c r="B1152" s="2">
        <v>44144.474305555559</v>
      </c>
      <c r="C1152" s="2">
        <v>44148.34375</v>
      </c>
      <c r="D1152">
        <v>5</v>
      </c>
      <c r="E1152" t="s">
        <v>6</v>
      </c>
      <c r="F1152" t="s">
        <v>11</v>
      </c>
      <c r="G1152" t="s">
        <v>25</v>
      </c>
      <c r="H1152">
        <v>68</v>
      </c>
      <c r="I1152">
        <v>10.69</v>
      </c>
      <c r="J1152">
        <v>5.01</v>
      </c>
      <c r="K1152" t="s">
        <v>15</v>
      </c>
      <c r="L1152">
        <v>80</v>
      </c>
      <c r="M1152">
        <v>166</v>
      </c>
      <c r="N1152">
        <v>85</v>
      </c>
      <c r="O1152">
        <v>28</v>
      </c>
      <c r="P1152" t="s">
        <v>45</v>
      </c>
    </row>
    <row r="1153" spans="1:16" x14ac:dyDescent="0.25">
      <c r="A1153">
        <v>1163</v>
      </c>
      <c r="B1153" s="2">
        <v>44142.430555555555</v>
      </c>
      <c r="C1153" s="2">
        <v>44148.34375</v>
      </c>
      <c r="D1153">
        <v>1</v>
      </c>
      <c r="E1153" t="s">
        <v>6</v>
      </c>
      <c r="F1153" t="s">
        <v>3</v>
      </c>
      <c r="G1153" t="s">
        <v>35</v>
      </c>
      <c r="H1153">
        <v>54</v>
      </c>
      <c r="I1153">
        <v>10.91</v>
      </c>
      <c r="J1153">
        <v>5.48</v>
      </c>
      <c r="K1153" t="s">
        <v>15</v>
      </c>
      <c r="L1153">
        <v>97</v>
      </c>
      <c r="M1153">
        <v>162</v>
      </c>
      <c r="N1153">
        <v>78</v>
      </c>
      <c r="O1153">
        <v>55</v>
      </c>
      <c r="P1153" t="s">
        <v>44</v>
      </c>
    </row>
    <row r="1154" spans="1:16" x14ac:dyDescent="0.25">
      <c r="A1154">
        <v>1164</v>
      </c>
      <c r="B1154" s="2">
        <v>44146.563194444447</v>
      </c>
      <c r="C1154" s="2">
        <v>44148.441666666666</v>
      </c>
      <c r="D1154">
        <v>6</v>
      </c>
      <c r="E1154" t="s">
        <v>6</v>
      </c>
      <c r="F1154" t="s">
        <v>10</v>
      </c>
      <c r="G1154" t="s">
        <v>24</v>
      </c>
      <c r="H1154">
        <v>82</v>
      </c>
      <c r="I1154">
        <v>9.75</v>
      </c>
      <c r="J1154">
        <v>3.03</v>
      </c>
      <c r="K1154" t="s">
        <v>15</v>
      </c>
      <c r="L1154">
        <v>129</v>
      </c>
      <c r="M1154">
        <v>171</v>
      </c>
      <c r="N1154">
        <v>79</v>
      </c>
      <c r="O1154">
        <v>55</v>
      </c>
      <c r="P1154" t="s">
        <v>44</v>
      </c>
    </row>
    <row r="1155" spans="1:16" x14ac:dyDescent="0.25">
      <c r="A1155">
        <v>1165</v>
      </c>
      <c r="B1155" s="2">
        <v>44148.277777777781</v>
      </c>
      <c r="C1155" s="2">
        <v>44148.56527777778</v>
      </c>
      <c r="D1155">
        <v>5</v>
      </c>
      <c r="E1155" t="s">
        <v>4</v>
      </c>
      <c r="F1155" t="s">
        <v>10</v>
      </c>
      <c r="G1155" t="s">
        <v>25</v>
      </c>
      <c r="H1155">
        <v>63</v>
      </c>
      <c r="I1155">
        <v>1.1499999999999999</v>
      </c>
      <c r="J1155">
        <v>0.61</v>
      </c>
      <c r="K1155" t="s">
        <v>15</v>
      </c>
      <c r="L1155">
        <v>181</v>
      </c>
      <c r="M1155">
        <v>168</v>
      </c>
      <c r="N1155">
        <v>91</v>
      </c>
      <c r="O1155">
        <v>70</v>
      </c>
      <c r="P1155" t="s">
        <v>44</v>
      </c>
    </row>
    <row r="1156" spans="1:16" x14ac:dyDescent="0.25">
      <c r="A1156">
        <v>1166</v>
      </c>
      <c r="B1156" s="2">
        <v>44148.667361111111</v>
      </c>
      <c r="C1156" s="2">
        <v>44149.333333333336</v>
      </c>
      <c r="D1156">
        <v>5</v>
      </c>
      <c r="E1156" t="s">
        <v>4</v>
      </c>
      <c r="F1156" t="s">
        <v>10</v>
      </c>
      <c r="G1156" t="s">
        <v>30</v>
      </c>
      <c r="H1156">
        <v>58</v>
      </c>
      <c r="I1156">
        <v>1.33</v>
      </c>
      <c r="J1156">
        <v>0.92</v>
      </c>
      <c r="K1156" t="s">
        <v>15</v>
      </c>
      <c r="L1156">
        <v>73</v>
      </c>
      <c r="M1156">
        <v>156</v>
      </c>
      <c r="N1156">
        <v>67</v>
      </c>
      <c r="O1156">
        <v>55</v>
      </c>
      <c r="P1156" t="s">
        <v>44</v>
      </c>
    </row>
    <row r="1157" spans="1:16" x14ac:dyDescent="0.25">
      <c r="A1157">
        <v>1167</v>
      </c>
      <c r="B1157" s="2">
        <v>44149.291666666664</v>
      </c>
      <c r="C1157" s="2">
        <v>44149.489583333336</v>
      </c>
      <c r="D1157">
        <v>4</v>
      </c>
      <c r="E1157" t="s">
        <v>4</v>
      </c>
      <c r="F1157" t="s">
        <v>10</v>
      </c>
      <c r="G1157" t="s">
        <v>30</v>
      </c>
      <c r="H1157">
        <v>60</v>
      </c>
      <c r="I1157">
        <v>1.53</v>
      </c>
      <c r="J1157">
        <v>0.67</v>
      </c>
      <c r="K1157" t="s">
        <v>15</v>
      </c>
      <c r="L1157">
        <v>91</v>
      </c>
      <c r="M1157">
        <v>170</v>
      </c>
      <c r="N1157">
        <v>75</v>
      </c>
      <c r="O1157">
        <v>55</v>
      </c>
      <c r="P1157" t="s">
        <v>44</v>
      </c>
    </row>
    <row r="1158" spans="1:16" x14ac:dyDescent="0.25">
      <c r="A1158">
        <v>1168</v>
      </c>
      <c r="B1158" s="2">
        <v>44150.666666666664</v>
      </c>
      <c r="C1158" s="2">
        <v>44151.333333333336</v>
      </c>
      <c r="D1158">
        <v>6</v>
      </c>
      <c r="E1158" t="s">
        <v>4</v>
      </c>
      <c r="F1158" t="s">
        <v>11</v>
      </c>
      <c r="G1158" t="s">
        <v>23</v>
      </c>
      <c r="H1158">
        <v>74</v>
      </c>
      <c r="I1158">
        <v>3.99</v>
      </c>
      <c r="J1158">
        <v>1.71</v>
      </c>
      <c r="K1158" t="s">
        <v>15</v>
      </c>
      <c r="L1158">
        <v>166</v>
      </c>
      <c r="M1158">
        <v>162</v>
      </c>
      <c r="N1158">
        <v>72</v>
      </c>
      <c r="O1158">
        <v>55</v>
      </c>
      <c r="P1158" t="s">
        <v>44</v>
      </c>
    </row>
    <row r="1159" spans="1:16" x14ac:dyDescent="0.25">
      <c r="A1159">
        <v>1169</v>
      </c>
      <c r="B1159" s="2">
        <v>44150.666666666664</v>
      </c>
      <c r="C1159" s="2">
        <v>44151.339583333334</v>
      </c>
      <c r="D1159">
        <v>1</v>
      </c>
      <c r="E1159" t="s">
        <v>4</v>
      </c>
      <c r="F1159" t="s">
        <v>10</v>
      </c>
      <c r="G1159" t="s">
        <v>33</v>
      </c>
      <c r="H1159">
        <v>76</v>
      </c>
      <c r="I1159">
        <v>2.69</v>
      </c>
      <c r="J1159">
        <v>1.84</v>
      </c>
      <c r="K1159" t="s">
        <v>15</v>
      </c>
      <c r="L1159">
        <v>81</v>
      </c>
      <c r="M1159">
        <v>172</v>
      </c>
      <c r="N1159">
        <v>78</v>
      </c>
      <c r="O1159">
        <v>56</v>
      </c>
      <c r="P1159" t="s">
        <v>44</v>
      </c>
    </row>
    <row r="1160" spans="1:16" x14ac:dyDescent="0.25">
      <c r="A1160">
        <v>1170</v>
      </c>
      <c r="B1160" s="2">
        <v>44147.666666666664</v>
      </c>
      <c r="C1160" s="2">
        <v>44151.347222222219</v>
      </c>
      <c r="D1160">
        <v>5</v>
      </c>
      <c r="E1160" t="s">
        <v>6</v>
      </c>
      <c r="F1160" t="s">
        <v>3</v>
      </c>
      <c r="G1160" t="s">
        <v>31</v>
      </c>
      <c r="H1160">
        <v>76</v>
      </c>
      <c r="I1160">
        <v>12.49</v>
      </c>
      <c r="J1160">
        <v>2.66</v>
      </c>
      <c r="K1160" t="s">
        <v>15</v>
      </c>
      <c r="L1160">
        <v>84</v>
      </c>
      <c r="M1160">
        <v>173</v>
      </c>
      <c r="N1160">
        <v>80</v>
      </c>
      <c r="O1160">
        <v>60</v>
      </c>
      <c r="P1160" t="s">
        <v>44</v>
      </c>
    </row>
    <row r="1161" spans="1:16" x14ac:dyDescent="0.25">
      <c r="A1161">
        <v>1171</v>
      </c>
      <c r="B1161" s="2">
        <v>44150.666666666664</v>
      </c>
      <c r="C1161" s="2">
        <v>44151.350694444445</v>
      </c>
      <c r="D1161">
        <v>4</v>
      </c>
      <c r="E1161" t="s">
        <v>4</v>
      </c>
      <c r="F1161" t="s">
        <v>11</v>
      </c>
      <c r="G1161" t="s">
        <v>35</v>
      </c>
      <c r="H1161">
        <v>69</v>
      </c>
      <c r="I1161">
        <v>2.89</v>
      </c>
      <c r="J1161">
        <v>1.67</v>
      </c>
      <c r="K1161" t="s">
        <v>15</v>
      </c>
      <c r="L1161">
        <v>74</v>
      </c>
      <c r="M1161">
        <v>181</v>
      </c>
      <c r="N1161">
        <v>75</v>
      </c>
      <c r="O1161">
        <v>88</v>
      </c>
      <c r="P1161" t="s">
        <v>44</v>
      </c>
    </row>
    <row r="1162" spans="1:16" x14ac:dyDescent="0.25">
      <c r="A1162">
        <v>1172</v>
      </c>
      <c r="B1162" s="2">
        <v>44151.349305555559</v>
      </c>
      <c r="C1162" s="2">
        <v>44151.545138888891</v>
      </c>
      <c r="D1162">
        <v>1</v>
      </c>
      <c r="E1162" t="s">
        <v>4</v>
      </c>
      <c r="F1162" t="s">
        <v>11</v>
      </c>
      <c r="G1162" t="s">
        <v>33</v>
      </c>
      <c r="H1162">
        <v>80</v>
      </c>
      <c r="I1162">
        <v>5.83</v>
      </c>
      <c r="J1162">
        <v>3.89</v>
      </c>
      <c r="K1162" t="s">
        <v>15</v>
      </c>
      <c r="L1162">
        <v>75</v>
      </c>
      <c r="M1162">
        <v>176</v>
      </c>
      <c r="N1162">
        <v>73</v>
      </c>
      <c r="O1162">
        <v>45</v>
      </c>
      <c r="P1162" t="s">
        <v>46</v>
      </c>
    </row>
    <row r="1163" spans="1:16" x14ac:dyDescent="0.25">
      <c r="A1163">
        <v>1173</v>
      </c>
      <c r="B1163" s="2">
        <v>44132.416666666664</v>
      </c>
      <c r="C1163" s="2">
        <v>44151.5625</v>
      </c>
      <c r="D1163">
        <v>5</v>
      </c>
      <c r="E1163" t="s">
        <v>6</v>
      </c>
      <c r="F1163" t="s">
        <v>10</v>
      </c>
      <c r="G1163" t="s">
        <v>24</v>
      </c>
      <c r="H1163">
        <v>59</v>
      </c>
      <c r="I1163">
        <v>2.09</v>
      </c>
      <c r="J1163">
        <v>2.72</v>
      </c>
      <c r="K1163" t="s">
        <v>15</v>
      </c>
      <c r="L1163">
        <v>65</v>
      </c>
      <c r="M1163">
        <v>175</v>
      </c>
      <c r="N1163">
        <v>74</v>
      </c>
      <c r="O1163">
        <v>45</v>
      </c>
      <c r="P1163" t="s">
        <v>46</v>
      </c>
    </row>
    <row r="1164" spans="1:16" x14ac:dyDescent="0.25">
      <c r="A1164">
        <v>1174</v>
      </c>
      <c r="B1164" s="2">
        <v>44150.583333333336</v>
      </c>
      <c r="C1164" s="2">
        <v>44151.652777777781</v>
      </c>
      <c r="D1164">
        <v>4</v>
      </c>
      <c r="E1164" t="s">
        <v>4</v>
      </c>
      <c r="F1164" t="s">
        <v>10</v>
      </c>
      <c r="G1164" t="s">
        <v>27</v>
      </c>
      <c r="H1164">
        <v>68</v>
      </c>
      <c r="I1164">
        <v>1.59</v>
      </c>
      <c r="J1164">
        <v>0.63</v>
      </c>
      <c r="K1164" t="s">
        <v>15</v>
      </c>
      <c r="L1164">
        <v>74</v>
      </c>
      <c r="M1164">
        <v>150</v>
      </c>
      <c r="N1164">
        <v>108</v>
      </c>
      <c r="O1164">
        <v>55</v>
      </c>
      <c r="P1164" t="s">
        <v>44</v>
      </c>
    </row>
    <row r="1165" spans="1:16" x14ac:dyDescent="0.25">
      <c r="A1165">
        <v>1175</v>
      </c>
      <c r="B1165" s="2">
        <v>44151.589583333334</v>
      </c>
      <c r="C1165" s="2">
        <v>44152.324999999997</v>
      </c>
      <c r="D1165">
        <v>3</v>
      </c>
      <c r="E1165" t="s">
        <v>4</v>
      </c>
      <c r="F1165" t="s">
        <v>1</v>
      </c>
      <c r="G1165" t="s">
        <v>34</v>
      </c>
      <c r="H1165">
        <v>54</v>
      </c>
      <c r="I1165">
        <v>11.73</v>
      </c>
      <c r="J1165">
        <v>4.87</v>
      </c>
      <c r="K1165" t="s">
        <v>15</v>
      </c>
      <c r="L1165">
        <v>99</v>
      </c>
      <c r="M1165">
        <v>160</v>
      </c>
      <c r="N1165">
        <v>82</v>
      </c>
      <c r="O1165">
        <v>50</v>
      </c>
      <c r="P1165" t="s">
        <v>46</v>
      </c>
    </row>
    <row r="1166" spans="1:16" x14ac:dyDescent="0.25">
      <c r="A1166">
        <v>1176</v>
      </c>
      <c r="B1166" s="2">
        <v>44151.666666666664</v>
      </c>
      <c r="C1166" s="2">
        <v>44152.340277777781</v>
      </c>
      <c r="D1166">
        <v>1</v>
      </c>
      <c r="E1166" t="s">
        <v>4</v>
      </c>
      <c r="F1166" t="s">
        <v>3</v>
      </c>
      <c r="G1166" t="s">
        <v>35</v>
      </c>
      <c r="H1166">
        <v>73</v>
      </c>
      <c r="I1166">
        <v>14.78</v>
      </c>
      <c r="J1166">
        <v>4.12</v>
      </c>
      <c r="K1166" t="s">
        <v>15</v>
      </c>
      <c r="L1166">
        <v>132</v>
      </c>
      <c r="M1166">
        <v>176</v>
      </c>
      <c r="N1166">
        <v>65</v>
      </c>
      <c r="O1166">
        <v>60</v>
      </c>
      <c r="P1166" t="s">
        <v>44</v>
      </c>
    </row>
    <row r="1167" spans="1:16" x14ac:dyDescent="0.25">
      <c r="A1167">
        <v>1177</v>
      </c>
      <c r="B1167" s="2">
        <v>44151.666666666664</v>
      </c>
      <c r="C1167" s="2">
        <v>44152.34375</v>
      </c>
      <c r="D1167">
        <v>5</v>
      </c>
      <c r="E1167" t="s">
        <v>4</v>
      </c>
      <c r="F1167" t="s">
        <v>3</v>
      </c>
      <c r="G1167" t="s">
        <v>28</v>
      </c>
      <c r="H1167">
        <v>79</v>
      </c>
      <c r="I1167">
        <v>8.1</v>
      </c>
      <c r="J1167">
        <v>3</v>
      </c>
      <c r="K1167" t="s">
        <v>15</v>
      </c>
      <c r="L1167">
        <v>72</v>
      </c>
      <c r="M1167">
        <v>161</v>
      </c>
      <c r="N1167">
        <v>65</v>
      </c>
      <c r="O1167">
        <v>60</v>
      </c>
      <c r="P1167" t="s">
        <v>44</v>
      </c>
    </row>
    <row r="1168" spans="1:16" x14ac:dyDescent="0.25">
      <c r="A1168">
        <v>1178</v>
      </c>
      <c r="B1168" s="2">
        <v>44151.666666666664</v>
      </c>
      <c r="C1168" s="2">
        <v>44152.34375</v>
      </c>
      <c r="D1168">
        <v>6</v>
      </c>
      <c r="E1168" t="s">
        <v>4</v>
      </c>
      <c r="F1168" t="s">
        <v>11</v>
      </c>
      <c r="G1168" t="s">
        <v>29</v>
      </c>
      <c r="H1168">
        <v>80</v>
      </c>
      <c r="I1168">
        <v>5.83</v>
      </c>
      <c r="J1168">
        <v>2.04</v>
      </c>
      <c r="K1168" t="s">
        <v>15</v>
      </c>
      <c r="L1168">
        <v>90</v>
      </c>
      <c r="M1168">
        <v>154</v>
      </c>
      <c r="N1168">
        <v>60</v>
      </c>
      <c r="O1168">
        <v>55</v>
      </c>
      <c r="P1168" t="s">
        <v>44</v>
      </c>
    </row>
    <row r="1169" spans="1:16" x14ac:dyDescent="0.25">
      <c r="A1169">
        <v>1179</v>
      </c>
      <c r="B1169" s="2">
        <v>44151.666666666664</v>
      </c>
      <c r="C1169" s="2">
        <v>44152.347222222219</v>
      </c>
      <c r="D1169">
        <v>4</v>
      </c>
      <c r="E1169" t="s">
        <v>4</v>
      </c>
      <c r="F1169" t="s">
        <v>3</v>
      </c>
      <c r="G1169" t="s">
        <v>26</v>
      </c>
      <c r="H1169">
        <v>72</v>
      </c>
      <c r="I1169">
        <v>5.24</v>
      </c>
      <c r="J1169">
        <v>1.07</v>
      </c>
      <c r="K1169" t="s">
        <v>15</v>
      </c>
      <c r="L1169">
        <v>79</v>
      </c>
      <c r="M1169">
        <v>157</v>
      </c>
      <c r="N1169">
        <v>77</v>
      </c>
      <c r="O1169">
        <v>60</v>
      </c>
      <c r="P1169" t="s">
        <v>44</v>
      </c>
    </row>
    <row r="1170" spans="1:16" x14ac:dyDescent="0.25">
      <c r="A1170">
        <v>1180</v>
      </c>
      <c r="B1170" s="2">
        <v>44151.666666666664</v>
      </c>
      <c r="C1170" s="2">
        <v>44152.534722222219</v>
      </c>
      <c r="D1170">
        <v>5</v>
      </c>
      <c r="E1170" t="s">
        <v>4</v>
      </c>
      <c r="F1170" t="s">
        <v>3</v>
      </c>
      <c r="G1170" t="s">
        <v>28</v>
      </c>
      <c r="H1170">
        <v>52</v>
      </c>
      <c r="I1170">
        <v>1.51</v>
      </c>
      <c r="J1170">
        <v>0.56000000000000005</v>
      </c>
      <c r="K1170" t="s">
        <v>15</v>
      </c>
      <c r="L1170">
        <v>91</v>
      </c>
      <c r="M1170">
        <v>175</v>
      </c>
      <c r="N1170">
        <v>89</v>
      </c>
      <c r="O1170">
        <v>55</v>
      </c>
      <c r="P1170" t="s">
        <v>44</v>
      </c>
    </row>
    <row r="1171" spans="1:16" x14ac:dyDescent="0.25">
      <c r="A1171">
        <v>1181</v>
      </c>
      <c r="B1171" s="2">
        <v>44141.416666666664</v>
      </c>
      <c r="C1171" s="2">
        <v>44152.557638888888</v>
      </c>
      <c r="D1171">
        <v>4</v>
      </c>
      <c r="E1171" t="s">
        <v>6</v>
      </c>
      <c r="F1171" t="s">
        <v>10</v>
      </c>
      <c r="G1171" t="s">
        <v>26</v>
      </c>
      <c r="H1171">
        <v>59</v>
      </c>
      <c r="I1171">
        <v>1.51</v>
      </c>
      <c r="J1171">
        <v>0.8</v>
      </c>
      <c r="K1171" t="s">
        <v>15</v>
      </c>
      <c r="L1171">
        <v>97</v>
      </c>
      <c r="M1171">
        <v>176</v>
      </c>
      <c r="N1171">
        <v>88</v>
      </c>
      <c r="O1171">
        <v>55</v>
      </c>
      <c r="P1171" t="s">
        <v>44</v>
      </c>
    </row>
    <row r="1172" spans="1:16" x14ac:dyDescent="0.25">
      <c r="A1172">
        <v>1182</v>
      </c>
      <c r="B1172" s="2">
        <v>44152.291666666664</v>
      </c>
      <c r="C1172" s="2">
        <v>44152.586805555555</v>
      </c>
      <c r="D1172">
        <v>6</v>
      </c>
      <c r="E1172" t="s">
        <v>4</v>
      </c>
      <c r="F1172" t="s">
        <v>1</v>
      </c>
      <c r="G1172" t="s">
        <v>29</v>
      </c>
      <c r="H1172">
        <v>47</v>
      </c>
      <c r="I1172">
        <v>4.6500000000000004</v>
      </c>
      <c r="J1172">
        <v>2.84</v>
      </c>
      <c r="K1172" t="s">
        <v>15</v>
      </c>
      <c r="L1172">
        <v>96</v>
      </c>
      <c r="M1172">
        <v>166</v>
      </c>
      <c r="N1172">
        <v>106</v>
      </c>
      <c r="O1172">
        <v>30</v>
      </c>
      <c r="P1172" t="s">
        <v>45</v>
      </c>
    </row>
    <row r="1173" spans="1:16" x14ac:dyDescent="0.25">
      <c r="A1173">
        <v>1183</v>
      </c>
      <c r="B1173" s="2">
        <v>44152.666666666664</v>
      </c>
      <c r="C1173" s="2">
        <v>44153.333333333336</v>
      </c>
      <c r="D1173">
        <v>1</v>
      </c>
      <c r="E1173" t="s">
        <v>4</v>
      </c>
      <c r="F1173" t="s">
        <v>3</v>
      </c>
      <c r="G1173" t="s">
        <v>30</v>
      </c>
      <c r="H1173">
        <v>61</v>
      </c>
      <c r="I1173">
        <v>1.72</v>
      </c>
      <c r="J1173">
        <v>0.69</v>
      </c>
      <c r="K1173" t="s">
        <v>15</v>
      </c>
      <c r="L1173">
        <v>106</v>
      </c>
      <c r="M1173">
        <v>168</v>
      </c>
      <c r="N1173">
        <v>92</v>
      </c>
      <c r="O1173">
        <v>48</v>
      </c>
      <c r="P1173" t="s">
        <v>46</v>
      </c>
    </row>
    <row r="1174" spans="1:16" x14ac:dyDescent="0.25">
      <c r="A1174">
        <v>1184</v>
      </c>
      <c r="B1174" s="2">
        <v>44152.666666666664</v>
      </c>
      <c r="C1174" s="2">
        <v>44153.336805555555</v>
      </c>
      <c r="D1174">
        <v>6</v>
      </c>
      <c r="E1174" t="s">
        <v>4</v>
      </c>
      <c r="F1174" t="s">
        <v>3</v>
      </c>
      <c r="G1174" t="s">
        <v>24</v>
      </c>
      <c r="H1174">
        <v>64</v>
      </c>
      <c r="I1174">
        <v>2.09</v>
      </c>
      <c r="J1174">
        <v>0.76</v>
      </c>
      <c r="K1174" t="s">
        <v>15</v>
      </c>
      <c r="L1174">
        <v>84</v>
      </c>
      <c r="M1174">
        <v>166</v>
      </c>
      <c r="N1174">
        <v>89</v>
      </c>
      <c r="O1174">
        <v>30</v>
      </c>
      <c r="P1174" t="s">
        <v>45</v>
      </c>
    </row>
    <row r="1175" spans="1:16" x14ac:dyDescent="0.25">
      <c r="A1175">
        <v>1185</v>
      </c>
      <c r="B1175" s="2">
        <v>44152.625</v>
      </c>
      <c r="C1175" s="2">
        <v>44153.347222222219</v>
      </c>
      <c r="D1175">
        <v>4</v>
      </c>
      <c r="E1175" t="s">
        <v>4</v>
      </c>
      <c r="F1175" t="s">
        <v>11</v>
      </c>
      <c r="G1175" t="s">
        <v>23</v>
      </c>
      <c r="H1175">
        <v>87</v>
      </c>
      <c r="I1175">
        <v>8.99</v>
      </c>
      <c r="J1175">
        <v>1.85</v>
      </c>
      <c r="K1175" t="s">
        <v>15</v>
      </c>
      <c r="L1175">
        <v>124</v>
      </c>
      <c r="M1175">
        <v>170</v>
      </c>
      <c r="N1175">
        <v>67</v>
      </c>
      <c r="O1175">
        <v>29</v>
      </c>
      <c r="P1175" t="s">
        <v>45</v>
      </c>
    </row>
    <row r="1176" spans="1:16" x14ac:dyDescent="0.25">
      <c r="A1176">
        <v>1186</v>
      </c>
      <c r="B1176" s="2">
        <v>44152.666666666664</v>
      </c>
      <c r="C1176" s="2">
        <v>44153.353472222225</v>
      </c>
      <c r="D1176">
        <v>5</v>
      </c>
      <c r="E1176" t="s">
        <v>4</v>
      </c>
      <c r="F1176" t="s">
        <v>11</v>
      </c>
      <c r="G1176" t="s">
        <v>28</v>
      </c>
      <c r="H1176">
        <v>82</v>
      </c>
      <c r="I1176">
        <v>8.9700000000000006</v>
      </c>
      <c r="J1176">
        <v>7.45</v>
      </c>
      <c r="K1176" t="s">
        <v>15</v>
      </c>
      <c r="L1176">
        <v>65</v>
      </c>
      <c r="M1176">
        <v>165</v>
      </c>
      <c r="N1176">
        <v>106</v>
      </c>
      <c r="O1176">
        <v>50</v>
      </c>
      <c r="P1176" t="s">
        <v>46</v>
      </c>
    </row>
    <row r="1177" spans="1:16" x14ac:dyDescent="0.25">
      <c r="A1177">
        <v>1187</v>
      </c>
      <c r="B1177" s="2">
        <v>44139.473611111112</v>
      </c>
      <c r="C1177" s="2">
        <v>44153.511111111111</v>
      </c>
      <c r="D1177">
        <v>1</v>
      </c>
      <c r="E1177" t="s">
        <v>6</v>
      </c>
      <c r="F1177" t="s">
        <v>3</v>
      </c>
      <c r="G1177" t="s">
        <v>30</v>
      </c>
      <c r="H1177">
        <v>67</v>
      </c>
      <c r="I1177">
        <v>11.84</v>
      </c>
      <c r="J1177">
        <v>2.89</v>
      </c>
      <c r="K1177" t="s">
        <v>15</v>
      </c>
      <c r="L1177">
        <v>87</v>
      </c>
      <c r="M1177">
        <v>171</v>
      </c>
      <c r="N1177">
        <v>87</v>
      </c>
      <c r="O1177">
        <v>68</v>
      </c>
      <c r="P1177" t="s">
        <v>44</v>
      </c>
    </row>
    <row r="1178" spans="1:16" x14ac:dyDescent="0.25">
      <c r="A1178">
        <v>1188</v>
      </c>
      <c r="B1178" s="2">
        <v>44153.357638888891</v>
      </c>
      <c r="C1178" s="2">
        <v>44153.552083333336</v>
      </c>
      <c r="D1178">
        <v>4</v>
      </c>
      <c r="E1178" t="s">
        <v>4</v>
      </c>
      <c r="F1178" t="s">
        <v>3</v>
      </c>
      <c r="G1178" t="s">
        <v>23</v>
      </c>
      <c r="H1178">
        <v>49</v>
      </c>
      <c r="I1178">
        <v>1.51</v>
      </c>
      <c r="J1178">
        <v>0.5</v>
      </c>
      <c r="K1178" t="s">
        <v>15</v>
      </c>
      <c r="L1178">
        <v>76</v>
      </c>
      <c r="M1178">
        <v>177</v>
      </c>
      <c r="N1178">
        <v>107</v>
      </c>
      <c r="O1178">
        <v>50</v>
      </c>
      <c r="P1178" t="s">
        <v>46</v>
      </c>
    </row>
    <row r="1179" spans="1:16" x14ac:dyDescent="0.25">
      <c r="A1179">
        <v>1189</v>
      </c>
      <c r="B1179" s="2">
        <v>44140.60833333333</v>
      </c>
      <c r="C1179" s="2">
        <v>44153.560416666667</v>
      </c>
      <c r="D1179">
        <v>6</v>
      </c>
      <c r="E1179" t="s">
        <v>6</v>
      </c>
      <c r="F1179" t="s">
        <v>10</v>
      </c>
      <c r="G1179" t="s">
        <v>24</v>
      </c>
      <c r="H1179">
        <v>66</v>
      </c>
      <c r="I1179">
        <v>2.39</v>
      </c>
      <c r="J1179">
        <v>1.42</v>
      </c>
      <c r="K1179" t="s">
        <v>15</v>
      </c>
      <c r="L1179">
        <v>95</v>
      </c>
      <c r="M1179">
        <v>179</v>
      </c>
      <c r="N1179">
        <v>78</v>
      </c>
      <c r="O1179">
        <v>29</v>
      </c>
      <c r="P1179" t="s">
        <v>45</v>
      </c>
    </row>
    <row r="1180" spans="1:16" x14ac:dyDescent="0.25">
      <c r="A1180">
        <v>1190</v>
      </c>
      <c r="B1180" s="2">
        <v>44153.666666666664</v>
      </c>
      <c r="C1180" s="2">
        <v>44154.336111111108</v>
      </c>
      <c r="D1180">
        <v>3</v>
      </c>
      <c r="E1180" t="s">
        <v>4</v>
      </c>
      <c r="F1180" t="s">
        <v>10</v>
      </c>
      <c r="G1180" t="s">
        <v>33</v>
      </c>
      <c r="H1180">
        <v>65</v>
      </c>
      <c r="I1180">
        <v>1.31</v>
      </c>
      <c r="J1180">
        <v>0.78</v>
      </c>
      <c r="K1180" t="s">
        <v>15</v>
      </c>
      <c r="L1180">
        <v>82</v>
      </c>
      <c r="M1180">
        <v>179</v>
      </c>
      <c r="N1180">
        <v>96</v>
      </c>
      <c r="O1180">
        <v>57</v>
      </c>
      <c r="P1180" t="s">
        <v>44</v>
      </c>
    </row>
    <row r="1181" spans="1:16" x14ac:dyDescent="0.25">
      <c r="A1181">
        <v>1191</v>
      </c>
      <c r="B1181" s="2">
        <v>44153.595833333333</v>
      </c>
      <c r="C1181" s="2">
        <v>44154.336805555555</v>
      </c>
      <c r="D1181">
        <v>6</v>
      </c>
      <c r="E1181" t="s">
        <v>4</v>
      </c>
      <c r="F1181" t="s">
        <v>10</v>
      </c>
      <c r="G1181" t="s">
        <v>23</v>
      </c>
      <c r="H1181">
        <v>70</v>
      </c>
      <c r="I1181">
        <v>4.7300000000000004</v>
      </c>
      <c r="J1181">
        <v>2.21</v>
      </c>
      <c r="K1181" t="s">
        <v>15</v>
      </c>
      <c r="L1181">
        <v>96</v>
      </c>
      <c r="M1181">
        <v>178</v>
      </c>
      <c r="N1181">
        <v>89</v>
      </c>
      <c r="O1181">
        <v>55</v>
      </c>
      <c r="P1181" t="s">
        <v>44</v>
      </c>
    </row>
    <row r="1182" spans="1:16" x14ac:dyDescent="0.25">
      <c r="A1182">
        <v>1192</v>
      </c>
      <c r="B1182" s="2">
        <v>44152.606944444444</v>
      </c>
      <c r="C1182" s="2">
        <v>44154.34097222222</v>
      </c>
      <c r="D1182">
        <v>1</v>
      </c>
      <c r="E1182" t="s">
        <v>6</v>
      </c>
      <c r="F1182" t="s">
        <v>10</v>
      </c>
      <c r="G1182" t="s">
        <v>24</v>
      </c>
      <c r="H1182">
        <v>71</v>
      </c>
      <c r="I1182">
        <v>3.67</v>
      </c>
      <c r="J1182">
        <v>2.38</v>
      </c>
      <c r="K1182" t="s">
        <v>15</v>
      </c>
      <c r="L1182">
        <v>69</v>
      </c>
      <c r="M1182">
        <v>179</v>
      </c>
      <c r="N1182">
        <v>93</v>
      </c>
      <c r="O1182">
        <v>50</v>
      </c>
      <c r="P1182" t="s">
        <v>46</v>
      </c>
    </row>
    <row r="1183" spans="1:16" x14ac:dyDescent="0.25">
      <c r="A1183">
        <v>1193</v>
      </c>
      <c r="B1183" s="2">
        <v>44152.559027777781</v>
      </c>
      <c r="C1183" s="2">
        <v>44154.350694444445</v>
      </c>
      <c r="D1183">
        <v>5</v>
      </c>
      <c r="E1183" t="s">
        <v>6</v>
      </c>
      <c r="F1183" t="s">
        <v>10</v>
      </c>
      <c r="G1183" t="s">
        <v>31</v>
      </c>
      <c r="H1183">
        <v>71</v>
      </c>
      <c r="I1183">
        <v>1.94</v>
      </c>
      <c r="J1183">
        <v>1.04</v>
      </c>
      <c r="K1183" t="s">
        <v>15</v>
      </c>
      <c r="L1183">
        <v>121</v>
      </c>
      <c r="M1183">
        <v>166</v>
      </c>
      <c r="N1183">
        <v>68</v>
      </c>
      <c r="O1183">
        <v>67</v>
      </c>
      <c r="P1183" t="s">
        <v>44</v>
      </c>
    </row>
    <row r="1184" spans="1:16" x14ac:dyDescent="0.25">
      <c r="A1184">
        <v>1194</v>
      </c>
      <c r="B1184" s="2">
        <v>44153.666666666664</v>
      </c>
      <c r="C1184" s="2">
        <v>44154.352777777778</v>
      </c>
      <c r="D1184">
        <v>4</v>
      </c>
      <c r="E1184" t="s">
        <v>4</v>
      </c>
      <c r="F1184" t="s">
        <v>3</v>
      </c>
      <c r="G1184" t="s">
        <v>21</v>
      </c>
      <c r="H1184">
        <v>55</v>
      </c>
      <c r="I1184">
        <v>3.13</v>
      </c>
      <c r="J1184">
        <v>1.96</v>
      </c>
      <c r="K1184" t="s">
        <v>15</v>
      </c>
      <c r="L1184">
        <v>128</v>
      </c>
      <c r="M1184">
        <v>163</v>
      </c>
      <c r="N1184">
        <v>71</v>
      </c>
      <c r="O1184">
        <v>64</v>
      </c>
      <c r="P1184" t="s">
        <v>44</v>
      </c>
    </row>
    <row r="1185" spans="1:16" x14ac:dyDescent="0.25">
      <c r="A1185">
        <v>1195</v>
      </c>
      <c r="B1185" s="2">
        <v>44154.299305555556</v>
      </c>
      <c r="C1185" s="2">
        <v>44154.513888888891</v>
      </c>
      <c r="D1185">
        <v>3</v>
      </c>
      <c r="E1185" t="s">
        <v>4</v>
      </c>
      <c r="F1185" t="s">
        <v>11</v>
      </c>
      <c r="G1185" t="s">
        <v>33</v>
      </c>
      <c r="H1185">
        <v>66</v>
      </c>
      <c r="I1185">
        <v>2.38</v>
      </c>
      <c r="J1185">
        <v>3.92</v>
      </c>
      <c r="K1185" t="s">
        <v>15</v>
      </c>
      <c r="L1185">
        <v>187</v>
      </c>
      <c r="M1185">
        <v>165</v>
      </c>
      <c r="N1185">
        <v>70</v>
      </c>
      <c r="O1185">
        <v>40</v>
      </c>
      <c r="P1185" t="s">
        <v>46</v>
      </c>
    </row>
    <row r="1186" spans="1:16" x14ac:dyDescent="0.25">
      <c r="A1186">
        <v>1196</v>
      </c>
      <c r="B1186" s="2">
        <v>44154.296527777777</v>
      </c>
      <c r="C1186" s="2">
        <v>44154.555555555555</v>
      </c>
      <c r="D1186">
        <v>6</v>
      </c>
      <c r="E1186" t="s">
        <v>4</v>
      </c>
      <c r="F1186" t="s">
        <v>1</v>
      </c>
      <c r="G1186" t="s">
        <v>23</v>
      </c>
      <c r="H1186">
        <v>69</v>
      </c>
      <c r="I1186">
        <v>11.67</v>
      </c>
      <c r="J1186">
        <v>3.49</v>
      </c>
      <c r="K1186" t="s">
        <v>15</v>
      </c>
      <c r="L1186">
        <v>145</v>
      </c>
      <c r="M1186">
        <v>179</v>
      </c>
      <c r="N1186">
        <v>92</v>
      </c>
      <c r="O1186">
        <v>55</v>
      </c>
      <c r="P1186" t="s">
        <v>44</v>
      </c>
    </row>
    <row r="1187" spans="1:16" x14ac:dyDescent="0.25">
      <c r="A1187">
        <v>1197</v>
      </c>
      <c r="B1187" s="2">
        <v>44154.293749999997</v>
      </c>
      <c r="C1187" s="2">
        <v>44154.63958333333</v>
      </c>
      <c r="D1187">
        <v>5</v>
      </c>
      <c r="E1187" t="s">
        <v>4</v>
      </c>
      <c r="F1187" t="s">
        <v>10</v>
      </c>
      <c r="G1187" t="s">
        <v>31</v>
      </c>
      <c r="H1187">
        <v>72</v>
      </c>
      <c r="I1187">
        <v>2.86</v>
      </c>
      <c r="J1187">
        <v>0.97</v>
      </c>
      <c r="K1187" t="s">
        <v>15</v>
      </c>
      <c r="L1187">
        <v>68</v>
      </c>
      <c r="M1187">
        <v>171</v>
      </c>
      <c r="N1187">
        <v>67</v>
      </c>
      <c r="O1187">
        <v>60</v>
      </c>
      <c r="P1187" t="s">
        <v>44</v>
      </c>
    </row>
    <row r="1188" spans="1:16" x14ac:dyDescent="0.25">
      <c r="A1188">
        <v>1198</v>
      </c>
      <c r="B1188" s="2">
        <v>44155.089583333334</v>
      </c>
      <c r="C1188" s="2">
        <v>44155.145833333336</v>
      </c>
      <c r="D1188">
        <v>1</v>
      </c>
      <c r="E1188" t="s">
        <v>2</v>
      </c>
      <c r="F1188" t="s">
        <v>1</v>
      </c>
      <c r="G1188" t="s">
        <v>31</v>
      </c>
      <c r="H1188">
        <v>70</v>
      </c>
      <c r="I1188">
        <v>32.04</v>
      </c>
      <c r="J1188">
        <v>5</v>
      </c>
      <c r="K1188" t="s">
        <v>15</v>
      </c>
      <c r="L1188">
        <v>84</v>
      </c>
      <c r="M1188">
        <v>149</v>
      </c>
      <c r="N1188">
        <v>43</v>
      </c>
      <c r="O1188">
        <v>65</v>
      </c>
      <c r="P1188" t="s">
        <v>44</v>
      </c>
    </row>
    <row r="1189" spans="1:16" x14ac:dyDescent="0.25">
      <c r="A1189">
        <v>1199</v>
      </c>
      <c r="B1189" s="2">
        <v>44154.666666666664</v>
      </c>
      <c r="C1189" s="2">
        <v>44155.333333333336</v>
      </c>
      <c r="D1189">
        <v>5</v>
      </c>
      <c r="E1189" t="s">
        <v>4</v>
      </c>
      <c r="F1189" t="s">
        <v>11</v>
      </c>
      <c r="G1189" t="s">
        <v>30</v>
      </c>
      <c r="H1189">
        <v>65</v>
      </c>
      <c r="I1189">
        <v>3.35</v>
      </c>
      <c r="J1189">
        <v>1.82</v>
      </c>
      <c r="K1189" t="s">
        <v>15</v>
      </c>
      <c r="L1189">
        <v>112</v>
      </c>
      <c r="M1189">
        <v>164</v>
      </c>
      <c r="N1189">
        <v>64</v>
      </c>
      <c r="O1189">
        <v>48</v>
      </c>
      <c r="P1189" t="s">
        <v>46</v>
      </c>
    </row>
    <row r="1190" spans="1:16" x14ac:dyDescent="0.25">
      <c r="A1190">
        <v>1200</v>
      </c>
      <c r="B1190" s="2">
        <v>44150.478472222225</v>
      </c>
      <c r="C1190" s="2">
        <v>44155.340277777781</v>
      </c>
      <c r="D1190">
        <v>4</v>
      </c>
      <c r="E1190" t="s">
        <v>6</v>
      </c>
      <c r="F1190" t="s">
        <v>1</v>
      </c>
      <c r="G1190" t="s">
        <v>21</v>
      </c>
      <c r="H1190">
        <v>56</v>
      </c>
      <c r="I1190">
        <v>0.88</v>
      </c>
      <c r="J1190">
        <v>0.69</v>
      </c>
      <c r="K1190" t="s">
        <v>15</v>
      </c>
      <c r="L1190">
        <v>100</v>
      </c>
      <c r="M1190">
        <v>177</v>
      </c>
      <c r="N1190">
        <v>90</v>
      </c>
      <c r="O1190">
        <v>40</v>
      </c>
      <c r="P1190" t="s">
        <v>46</v>
      </c>
    </row>
    <row r="1191" spans="1:16" x14ac:dyDescent="0.25">
      <c r="A1191">
        <v>1201</v>
      </c>
      <c r="B1191" s="2">
        <v>44153.458333333336</v>
      </c>
      <c r="C1191" s="2">
        <v>44155.343055555553</v>
      </c>
      <c r="D1191">
        <v>6</v>
      </c>
      <c r="E1191" t="s">
        <v>6</v>
      </c>
      <c r="F1191" t="s">
        <v>10</v>
      </c>
      <c r="G1191" t="s">
        <v>24</v>
      </c>
      <c r="H1191">
        <v>63</v>
      </c>
      <c r="I1191">
        <v>1.73</v>
      </c>
      <c r="J1191">
        <v>1.37</v>
      </c>
      <c r="K1191" t="s">
        <v>15</v>
      </c>
      <c r="L1191">
        <v>104</v>
      </c>
      <c r="M1191">
        <v>177</v>
      </c>
      <c r="N1191">
        <v>123</v>
      </c>
      <c r="O1191">
        <v>40</v>
      </c>
      <c r="P1191" t="s">
        <v>46</v>
      </c>
    </row>
    <row r="1192" spans="1:16" x14ac:dyDescent="0.25">
      <c r="A1192">
        <v>1202</v>
      </c>
      <c r="B1192" s="2">
        <v>44154.666666666664</v>
      </c>
      <c r="C1192" s="2">
        <v>44155.558333333334</v>
      </c>
      <c r="D1192">
        <v>1</v>
      </c>
      <c r="E1192" t="s">
        <v>4</v>
      </c>
      <c r="F1192" t="s">
        <v>1</v>
      </c>
      <c r="G1192" t="s">
        <v>27</v>
      </c>
      <c r="H1192">
        <v>80</v>
      </c>
      <c r="I1192">
        <v>36.659999999999997</v>
      </c>
      <c r="J1192">
        <v>13.72</v>
      </c>
      <c r="K1192" t="s">
        <v>15</v>
      </c>
      <c r="L1192">
        <v>83</v>
      </c>
      <c r="M1192">
        <v>165</v>
      </c>
      <c r="N1192">
        <v>95</v>
      </c>
      <c r="O1192">
        <v>33</v>
      </c>
      <c r="P1192" t="s">
        <v>46</v>
      </c>
    </row>
    <row r="1193" spans="1:16" x14ac:dyDescent="0.25">
      <c r="A1193">
        <v>1203</v>
      </c>
      <c r="B1193" s="2">
        <v>44155.294444444444</v>
      </c>
      <c r="C1193" s="2">
        <v>44155.5625</v>
      </c>
      <c r="D1193">
        <v>5</v>
      </c>
      <c r="E1193" t="s">
        <v>4</v>
      </c>
      <c r="F1193" t="s">
        <v>10</v>
      </c>
      <c r="G1193" t="s">
        <v>30</v>
      </c>
      <c r="H1193">
        <v>76</v>
      </c>
      <c r="I1193">
        <v>2.69</v>
      </c>
      <c r="J1193">
        <v>1.06</v>
      </c>
      <c r="K1193" t="s">
        <v>15</v>
      </c>
      <c r="L1193">
        <v>68</v>
      </c>
      <c r="M1193">
        <v>179</v>
      </c>
      <c r="N1193">
        <v>74</v>
      </c>
      <c r="O1193">
        <v>55</v>
      </c>
      <c r="P1193" t="s">
        <v>44</v>
      </c>
    </row>
    <row r="1194" spans="1:16" x14ac:dyDescent="0.25">
      <c r="A1194">
        <v>1204</v>
      </c>
      <c r="B1194" s="2">
        <v>44155.6</v>
      </c>
      <c r="C1194" s="2">
        <v>44156.336805555555</v>
      </c>
      <c r="D1194">
        <v>4</v>
      </c>
      <c r="E1194" t="s">
        <v>4</v>
      </c>
      <c r="F1194" t="s">
        <v>3</v>
      </c>
      <c r="G1194" t="s">
        <v>33</v>
      </c>
      <c r="H1194">
        <v>81</v>
      </c>
      <c r="I1194">
        <v>8.44</v>
      </c>
      <c r="J1194">
        <v>1.43</v>
      </c>
      <c r="K1194" t="s">
        <v>15</v>
      </c>
      <c r="L1194">
        <v>80</v>
      </c>
      <c r="M1194">
        <v>156</v>
      </c>
      <c r="N1194">
        <v>61</v>
      </c>
      <c r="O1194">
        <v>35</v>
      </c>
      <c r="P1194" t="s">
        <v>46</v>
      </c>
    </row>
    <row r="1195" spans="1:16" x14ac:dyDescent="0.25">
      <c r="A1195">
        <v>1205</v>
      </c>
      <c r="B1195" s="2">
        <v>44155.586111111108</v>
      </c>
      <c r="C1195" s="2">
        <v>44156.445138888892</v>
      </c>
      <c r="D1195">
        <v>5</v>
      </c>
      <c r="E1195" t="s">
        <v>4</v>
      </c>
      <c r="F1195" t="s">
        <v>3</v>
      </c>
      <c r="G1195" t="s">
        <v>33</v>
      </c>
      <c r="H1195">
        <v>77</v>
      </c>
      <c r="I1195">
        <v>4.83</v>
      </c>
      <c r="J1195">
        <v>1.22</v>
      </c>
      <c r="K1195" t="s">
        <v>15</v>
      </c>
      <c r="L1195">
        <v>89</v>
      </c>
      <c r="M1195">
        <v>173</v>
      </c>
      <c r="N1195">
        <v>94</v>
      </c>
      <c r="O1195">
        <v>54</v>
      </c>
      <c r="P1195" t="s">
        <v>44</v>
      </c>
    </row>
    <row r="1196" spans="1:16" x14ac:dyDescent="0.25">
      <c r="A1196">
        <v>1206</v>
      </c>
      <c r="B1196" s="2">
        <v>44142.458333333336</v>
      </c>
      <c r="C1196" s="2">
        <v>44157.354861111111</v>
      </c>
      <c r="D1196">
        <v>1</v>
      </c>
      <c r="E1196" t="s">
        <v>2</v>
      </c>
      <c r="F1196" t="s">
        <v>3</v>
      </c>
      <c r="G1196" t="s">
        <v>29</v>
      </c>
      <c r="H1196">
        <v>69</v>
      </c>
      <c r="I1196">
        <v>43.08</v>
      </c>
      <c r="J1196">
        <v>24.58</v>
      </c>
      <c r="K1196" t="s">
        <v>13</v>
      </c>
      <c r="L1196">
        <v>71</v>
      </c>
      <c r="M1196">
        <v>162</v>
      </c>
      <c r="N1196">
        <v>65</v>
      </c>
      <c r="O1196">
        <v>51</v>
      </c>
      <c r="P1196" t="s">
        <v>44</v>
      </c>
    </row>
    <row r="1197" spans="1:16" x14ac:dyDescent="0.25">
      <c r="A1197">
        <v>1207</v>
      </c>
      <c r="B1197" s="2">
        <v>44154.673611111109</v>
      </c>
      <c r="C1197" s="2">
        <v>44157.458333333336</v>
      </c>
      <c r="D1197">
        <v>4</v>
      </c>
      <c r="E1197" t="s">
        <v>0</v>
      </c>
      <c r="F1197" t="s">
        <v>11</v>
      </c>
      <c r="G1197" t="s">
        <v>30</v>
      </c>
      <c r="H1197">
        <v>76</v>
      </c>
      <c r="I1197">
        <v>63.72</v>
      </c>
      <c r="J1197">
        <v>69.67</v>
      </c>
      <c r="K1197" t="s">
        <v>13</v>
      </c>
      <c r="L1197">
        <v>137</v>
      </c>
      <c r="M1197">
        <v>167</v>
      </c>
      <c r="N1197">
        <v>69</v>
      </c>
      <c r="O1197">
        <v>60</v>
      </c>
      <c r="P1197" t="s">
        <v>44</v>
      </c>
    </row>
    <row r="1198" spans="1:16" x14ac:dyDescent="0.25">
      <c r="A1198">
        <v>1208</v>
      </c>
      <c r="B1198" s="2">
        <v>44157.665972222225</v>
      </c>
      <c r="C1198" s="2">
        <v>44158.329861111109</v>
      </c>
      <c r="D1198">
        <v>3</v>
      </c>
      <c r="E1198" t="s">
        <v>4</v>
      </c>
      <c r="F1198" t="s">
        <v>11</v>
      </c>
      <c r="G1198" t="s">
        <v>30</v>
      </c>
      <c r="H1198">
        <v>75</v>
      </c>
      <c r="I1198">
        <v>5.82</v>
      </c>
      <c r="J1198">
        <v>2.4700000000000002</v>
      </c>
      <c r="K1198" t="s">
        <v>15</v>
      </c>
      <c r="L1198">
        <v>89</v>
      </c>
      <c r="M1198">
        <v>178</v>
      </c>
      <c r="N1198">
        <v>82</v>
      </c>
      <c r="O1198">
        <v>40</v>
      </c>
      <c r="P1198" t="s">
        <v>46</v>
      </c>
    </row>
    <row r="1199" spans="1:16" x14ac:dyDescent="0.25">
      <c r="A1199">
        <v>1209</v>
      </c>
      <c r="B1199" s="2">
        <v>44157.666666666664</v>
      </c>
      <c r="C1199" s="2">
        <v>44158.334722222222</v>
      </c>
      <c r="D1199">
        <v>6</v>
      </c>
      <c r="E1199" t="s">
        <v>4</v>
      </c>
      <c r="F1199" t="s">
        <v>1</v>
      </c>
      <c r="G1199" t="s">
        <v>23</v>
      </c>
      <c r="H1199">
        <v>42</v>
      </c>
      <c r="I1199">
        <v>4.6500000000000004</v>
      </c>
      <c r="J1199">
        <v>0.96</v>
      </c>
      <c r="K1199" t="s">
        <v>15</v>
      </c>
      <c r="L1199">
        <v>107</v>
      </c>
      <c r="M1199">
        <v>151</v>
      </c>
      <c r="N1199">
        <v>47</v>
      </c>
      <c r="O1199">
        <v>60</v>
      </c>
      <c r="P1199" t="s">
        <v>44</v>
      </c>
    </row>
    <row r="1200" spans="1:16" x14ac:dyDescent="0.25">
      <c r="A1200">
        <v>1210</v>
      </c>
      <c r="B1200" s="2">
        <v>44157.666666666664</v>
      </c>
      <c r="C1200" s="2">
        <v>44158.340277777781</v>
      </c>
      <c r="D1200">
        <v>4</v>
      </c>
      <c r="E1200" t="s">
        <v>4</v>
      </c>
      <c r="F1200" t="s">
        <v>3</v>
      </c>
      <c r="G1200" t="s">
        <v>35</v>
      </c>
      <c r="H1200">
        <v>48</v>
      </c>
      <c r="I1200">
        <v>1.51</v>
      </c>
      <c r="J1200">
        <v>0.5</v>
      </c>
      <c r="K1200" t="s">
        <v>15</v>
      </c>
      <c r="L1200">
        <v>83</v>
      </c>
      <c r="M1200">
        <v>165</v>
      </c>
      <c r="N1200">
        <v>66</v>
      </c>
      <c r="O1200">
        <v>51</v>
      </c>
      <c r="P1200" t="s">
        <v>44</v>
      </c>
    </row>
    <row r="1201" spans="1:16" x14ac:dyDescent="0.25">
      <c r="A1201">
        <v>1211</v>
      </c>
      <c r="B1201" s="2">
        <v>44157.664583333331</v>
      </c>
      <c r="C1201" s="2">
        <v>44158.347222222219</v>
      </c>
      <c r="D1201">
        <v>5</v>
      </c>
      <c r="E1201" t="s">
        <v>4</v>
      </c>
      <c r="F1201" t="s">
        <v>3</v>
      </c>
      <c r="G1201" t="s">
        <v>31</v>
      </c>
      <c r="H1201">
        <v>65</v>
      </c>
      <c r="I1201">
        <v>2.23</v>
      </c>
      <c r="J1201">
        <v>0.64</v>
      </c>
      <c r="K1201" t="s">
        <v>15</v>
      </c>
      <c r="L1201">
        <v>62</v>
      </c>
      <c r="M1201">
        <v>162</v>
      </c>
      <c r="N1201">
        <v>106</v>
      </c>
      <c r="O1201">
        <v>25</v>
      </c>
      <c r="P1201" t="s">
        <v>45</v>
      </c>
    </row>
    <row r="1202" spans="1:16" x14ac:dyDescent="0.25">
      <c r="A1202">
        <v>1212</v>
      </c>
      <c r="B1202" s="2">
        <v>44150.416666666664</v>
      </c>
      <c r="C1202" s="2">
        <v>44158.513888888891</v>
      </c>
      <c r="D1202">
        <v>5</v>
      </c>
      <c r="E1202" t="s">
        <v>6</v>
      </c>
      <c r="F1202" t="s">
        <v>10</v>
      </c>
      <c r="G1202" t="s">
        <v>31</v>
      </c>
      <c r="H1202">
        <v>68</v>
      </c>
      <c r="I1202">
        <v>4.08</v>
      </c>
      <c r="J1202">
        <v>1.9</v>
      </c>
      <c r="K1202" t="s">
        <v>15</v>
      </c>
      <c r="L1202">
        <v>91</v>
      </c>
      <c r="M1202">
        <v>173</v>
      </c>
      <c r="N1202">
        <v>121</v>
      </c>
      <c r="O1202">
        <v>35</v>
      </c>
      <c r="P1202" t="s">
        <v>46</v>
      </c>
    </row>
    <row r="1203" spans="1:16" x14ac:dyDescent="0.25">
      <c r="A1203">
        <v>1213</v>
      </c>
      <c r="B1203" s="2">
        <v>44149.416666666664</v>
      </c>
      <c r="C1203" s="2">
        <v>44158.521527777775</v>
      </c>
      <c r="D1203">
        <v>4</v>
      </c>
      <c r="E1203" t="s">
        <v>6</v>
      </c>
      <c r="F1203" t="s">
        <v>10</v>
      </c>
      <c r="G1203" t="s">
        <v>21</v>
      </c>
      <c r="H1203">
        <v>70</v>
      </c>
      <c r="I1203">
        <v>1.82</v>
      </c>
      <c r="J1203">
        <v>1.01</v>
      </c>
      <c r="K1203" t="s">
        <v>15</v>
      </c>
      <c r="L1203">
        <v>148</v>
      </c>
      <c r="M1203">
        <v>177</v>
      </c>
      <c r="N1203">
        <v>94</v>
      </c>
      <c r="O1203">
        <v>25</v>
      </c>
      <c r="P1203" t="s">
        <v>45</v>
      </c>
    </row>
    <row r="1204" spans="1:16" x14ac:dyDescent="0.25">
      <c r="A1204">
        <v>1214</v>
      </c>
      <c r="B1204" s="2">
        <v>44148.541666666664</v>
      </c>
      <c r="C1204" s="2">
        <v>44158.583333333336</v>
      </c>
      <c r="D1204">
        <v>3</v>
      </c>
      <c r="E1204" t="s">
        <v>4</v>
      </c>
      <c r="F1204" t="s">
        <v>10</v>
      </c>
      <c r="G1204" t="s">
        <v>30</v>
      </c>
      <c r="H1204">
        <v>77</v>
      </c>
      <c r="I1204">
        <v>4.8499999999999996</v>
      </c>
      <c r="J1204">
        <v>1.28</v>
      </c>
      <c r="K1204" t="s">
        <v>15</v>
      </c>
      <c r="L1204">
        <v>97</v>
      </c>
      <c r="M1204">
        <v>180</v>
      </c>
      <c r="N1204">
        <v>104</v>
      </c>
      <c r="O1204">
        <v>29</v>
      </c>
      <c r="P1204" t="s">
        <v>45</v>
      </c>
    </row>
    <row r="1205" spans="1:16" x14ac:dyDescent="0.25">
      <c r="A1205">
        <v>1215</v>
      </c>
      <c r="B1205" s="2">
        <v>44144.458333333336</v>
      </c>
      <c r="C1205" s="2">
        <v>44159.333333333336</v>
      </c>
      <c r="D1205">
        <v>4</v>
      </c>
      <c r="E1205" t="s">
        <v>6</v>
      </c>
      <c r="F1205" t="s">
        <v>10</v>
      </c>
      <c r="G1205" t="s">
        <v>26</v>
      </c>
      <c r="H1205">
        <v>60</v>
      </c>
      <c r="I1205">
        <v>0.94</v>
      </c>
      <c r="J1205">
        <v>0.76</v>
      </c>
      <c r="K1205" t="s">
        <v>15</v>
      </c>
      <c r="L1205">
        <v>62</v>
      </c>
      <c r="M1205">
        <v>170</v>
      </c>
      <c r="N1205">
        <v>75</v>
      </c>
      <c r="O1205">
        <v>50</v>
      </c>
      <c r="P1205" t="s">
        <v>46</v>
      </c>
    </row>
    <row r="1206" spans="1:16" x14ac:dyDescent="0.25">
      <c r="A1206">
        <v>1216</v>
      </c>
      <c r="B1206" s="2">
        <v>44158.666666666664</v>
      </c>
      <c r="C1206" s="2">
        <v>44159.333333333336</v>
      </c>
      <c r="D1206">
        <v>5</v>
      </c>
      <c r="E1206" t="s">
        <v>4</v>
      </c>
      <c r="F1206" t="s">
        <v>3</v>
      </c>
      <c r="G1206" t="s">
        <v>28</v>
      </c>
      <c r="H1206">
        <v>76</v>
      </c>
      <c r="I1206">
        <v>9.1199999999999992</v>
      </c>
      <c r="J1206">
        <v>3.82</v>
      </c>
      <c r="K1206" t="s">
        <v>15</v>
      </c>
      <c r="L1206">
        <v>93</v>
      </c>
      <c r="M1206">
        <v>166</v>
      </c>
      <c r="N1206">
        <v>84</v>
      </c>
      <c r="O1206">
        <v>45</v>
      </c>
      <c r="P1206" t="s">
        <v>46</v>
      </c>
    </row>
    <row r="1207" spans="1:16" x14ac:dyDescent="0.25">
      <c r="A1207">
        <v>1217</v>
      </c>
      <c r="B1207" s="2">
        <v>44152.541666666664</v>
      </c>
      <c r="C1207" s="2">
        <v>44159.34375</v>
      </c>
      <c r="D1207">
        <v>1</v>
      </c>
      <c r="E1207" t="s">
        <v>6</v>
      </c>
      <c r="F1207" t="s">
        <v>10</v>
      </c>
      <c r="G1207" t="s">
        <v>35</v>
      </c>
      <c r="H1207">
        <v>59</v>
      </c>
      <c r="I1207">
        <v>2.4500000000000002</v>
      </c>
      <c r="J1207">
        <v>1.29</v>
      </c>
      <c r="K1207" t="s">
        <v>15</v>
      </c>
      <c r="L1207">
        <v>87</v>
      </c>
      <c r="M1207">
        <v>179</v>
      </c>
      <c r="N1207">
        <v>85</v>
      </c>
      <c r="O1207">
        <v>40</v>
      </c>
      <c r="P1207" t="s">
        <v>46</v>
      </c>
    </row>
    <row r="1208" spans="1:16" x14ac:dyDescent="0.25">
      <c r="A1208">
        <v>1218</v>
      </c>
      <c r="B1208" s="2">
        <v>44158.666666666664</v>
      </c>
      <c r="C1208" s="2">
        <v>44159.345833333333</v>
      </c>
      <c r="D1208">
        <v>6</v>
      </c>
      <c r="E1208" t="s">
        <v>4</v>
      </c>
      <c r="F1208" t="s">
        <v>1</v>
      </c>
      <c r="G1208" t="s">
        <v>29</v>
      </c>
      <c r="H1208">
        <v>82</v>
      </c>
      <c r="I1208">
        <v>6.61</v>
      </c>
      <c r="J1208">
        <v>2.42</v>
      </c>
      <c r="K1208" t="s">
        <v>15</v>
      </c>
      <c r="L1208">
        <v>107</v>
      </c>
      <c r="M1208">
        <v>159</v>
      </c>
      <c r="N1208">
        <v>88</v>
      </c>
      <c r="O1208">
        <v>55</v>
      </c>
      <c r="P1208" t="s">
        <v>44</v>
      </c>
    </row>
    <row r="1209" spans="1:16" x14ac:dyDescent="0.25">
      <c r="A1209">
        <v>1219</v>
      </c>
      <c r="B1209" s="2">
        <v>44159.303472222222</v>
      </c>
      <c r="C1209" s="2">
        <v>44159.534722222219</v>
      </c>
      <c r="D1209">
        <v>4</v>
      </c>
      <c r="E1209" t="s">
        <v>4</v>
      </c>
      <c r="F1209" t="s">
        <v>11</v>
      </c>
      <c r="G1209" t="s">
        <v>26</v>
      </c>
      <c r="H1209">
        <v>65</v>
      </c>
      <c r="I1209">
        <v>5.85</v>
      </c>
      <c r="J1209">
        <v>4.47</v>
      </c>
      <c r="K1209" t="s">
        <v>15</v>
      </c>
      <c r="L1209">
        <v>83</v>
      </c>
      <c r="M1209">
        <v>164</v>
      </c>
      <c r="N1209">
        <v>78</v>
      </c>
      <c r="O1209">
        <v>70</v>
      </c>
      <c r="P1209" t="s">
        <v>44</v>
      </c>
    </row>
    <row r="1210" spans="1:16" x14ac:dyDescent="0.25">
      <c r="A1210">
        <v>1220</v>
      </c>
      <c r="B1210" s="2">
        <v>44159.302777777775</v>
      </c>
      <c r="C1210" s="2">
        <v>44159.57708333333</v>
      </c>
      <c r="D1210">
        <v>1</v>
      </c>
      <c r="E1210" t="s">
        <v>4</v>
      </c>
      <c r="F1210" t="s">
        <v>11</v>
      </c>
      <c r="G1210" t="s">
        <v>35</v>
      </c>
      <c r="H1210">
        <v>63</v>
      </c>
      <c r="I1210">
        <v>1.96</v>
      </c>
      <c r="J1210">
        <v>1.04</v>
      </c>
      <c r="K1210" t="s">
        <v>15</v>
      </c>
      <c r="L1210">
        <v>67</v>
      </c>
      <c r="M1210">
        <v>173</v>
      </c>
      <c r="N1210">
        <v>102</v>
      </c>
      <c r="O1210">
        <v>65</v>
      </c>
      <c r="P1210" t="s">
        <v>44</v>
      </c>
    </row>
    <row r="1211" spans="1:16" x14ac:dyDescent="0.25">
      <c r="A1211">
        <v>1221</v>
      </c>
      <c r="B1211" s="2">
        <v>44153.583333333336</v>
      </c>
      <c r="C1211" s="2">
        <v>44159.583333333336</v>
      </c>
      <c r="D1211">
        <v>5</v>
      </c>
      <c r="E1211" t="s">
        <v>6</v>
      </c>
      <c r="F1211" t="s">
        <v>3</v>
      </c>
      <c r="G1211" t="s">
        <v>28</v>
      </c>
      <c r="H1211">
        <v>74</v>
      </c>
      <c r="I1211">
        <v>8.08</v>
      </c>
      <c r="J1211">
        <v>2.59</v>
      </c>
      <c r="K1211" t="s">
        <v>15</v>
      </c>
      <c r="L1211">
        <v>93</v>
      </c>
      <c r="M1211">
        <v>165</v>
      </c>
      <c r="N1211">
        <v>89</v>
      </c>
      <c r="O1211">
        <v>60</v>
      </c>
      <c r="P1211" t="s">
        <v>44</v>
      </c>
    </row>
    <row r="1212" spans="1:16" x14ac:dyDescent="0.25">
      <c r="A1212">
        <v>1222</v>
      </c>
      <c r="B1212" s="2">
        <v>44159.289583333331</v>
      </c>
      <c r="C1212" s="2">
        <v>44159.607638888891</v>
      </c>
      <c r="D1212">
        <v>6</v>
      </c>
      <c r="E1212" t="s">
        <v>4</v>
      </c>
      <c r="F1212" t="s">
        <v>10</v>
      </c>
      <c r="G1212" t="s">
        <v>29</v>
      </c>
      <c r="H1212">
        <v>77</v>
      </c>
      <c r="I1212">
        <v>8.1</v>
      </c>
      <c r="J1212">
        <v>1.8</v>
      </c>
      <c r="K1212" t="s">
        <v>15</v>
      </c>
      <c r="L1212">
        <v>72</v>
      </c>
      <c r="M1212">
        <v>160</v>
      </c>
      <c r="N1212">
        <v>82</v>
      </c>
      <c r="O1212">
        <v>65</v>
      </c>
      <c r="P1212" t="s">
        <v>44</v>
      </c>
    </row>
    <row r="1213" spans="1:16" x14ac:dyDescent="0.25">
      <c r="A1213">
        <v>1223</v>
      </c>
      <c r="B1213" s="2">
        <v>44159.625</v>
      </c>
      <c r="C1213" s="2">
        <v>44160.328472222223</v>
      </c>
      <c r="D1213">
        <v>5</v>
      </c>
      <c r="E1213" t="s">
        <v>4</v>
      </c>
      <c r="F1213" t="s">
        <v>3</v>
      </c>
      <c r="G1213" t="s">
        <v>28</v>
      </c>
      <c r="H1213">
        <v>72</v>
      </c>
      <c r="I1213">
        <v>5.24</v>
      </c>
      <c r="J1213">
        <v>2.4900000000000002</v>
      </c>
      <c r="K1213" t="s">
        <v>15</v>
      </c>
      <c r="L1213">
        <v>84</v>
      </c>
      <c r="M1213">
        <v>182</v>
      </c>
      <c r="N1213">
        <v>82</v>
      </c>
      <c r="O1213">
        <v>51</v>
      </c>
      <c r="P1213" t="s">
        <v>44</v>
      </c>
    </row>
    <row r="1214" spans="1:16" x14ac:dyDescent="0.25">
      <c r="A1214">
        <v>1224</v>
      </c>
      <c r="B1214" s="2">
        <v>44159.666666666664</v>
      </c>
      <c r="C1214" s="2">
        <v>44160.333333333336</v>
      </c>
      <c r="D1214">
        <v>4</v>
      </c>
      <c r="E1214" t="s">
        <v>4</v>
      </c>
      <c r="F1214" t="s">
        <v>1</v>
      </c>
      <c r="G1214" t="s">
        <v>23</v>
      </c>
      <c r="H1214">
        <v>58</v>
      </c>
      <c r="I1214">
        <v>4.6500000000000004</v>
      </c>
      <c r="J1214">
        <v>1.64</v>
      </c>
      <c r="K1214" t="s">
        <v>15</v>
      </c>
      <c r="L1214">
        <v>81</v>
      </c>
      <c r="M1214">
        <v>155</v>
      </c>
      <c r="N1214">
        <v>70</v>
      </c>
      <c r="O1214">
        <v>60</v>
      </c>
      <c r="P1214" t="s">
        <v>44</v>
      </c>
    </row>
    <row r="1215" spans="1:16" x14ac:dyDescent="0.25">
      <c r="A1215">
        <v>1225</v>
      </c>
      <c r="B1215" s="2">
        <v>44159.659722222219</v>
      </c>
      <c r="C1215" s="2">
        <v>44160.352777777778</v>
      </c>
      <c r="D1215">
        <v>1</v>
      </c>
      <c r="E1215" t="s">
        <v>4</v>
      </c>
      <c r="F1215" t="s">
        <v>3</v>
      </c>
      <c r="G1215" t="s">
        <v>33</v>
      </c>
      <c r="H1215">
        <v>70</v>
      </c>
      <c r="I1215">
        <v>3.08</v>
      </c>
      <c r="J1215">
        <v>0.67</v>
      </c>
      <c r="K1215" t="s">
        <v>15</v>
      </c>
      <c r="L1215">
        <v>71</v>
      </c>
      <c r="M1215">
        <v>170</v>
      </c>
      <c r="N1215">
        <v>83</v>
      </c>
      <c r="O1215">
        <v>55</v>
      </c>
      <c r="P1215" t="s">
        <v>44</v>
      </c>
    </row>
    <row r="1216" spans="1:16" x14ac:dyDescent="0.25">
      <c r="A1216">
        <v>1226</v>
      </c>
      <c r="B1216" s="2">
        <v>44159.458333333336</v>
      </c>
      <c r="C1216" s="2">
        <v>44160.390277777777</v>
      </c>
      <c r="D1216">
        <v>6</v>
      </c>
      <c r="E1216" t="s">
        <v>6</v>
      </c>
      <c r="F1216" t="s">
        <v>10</v>
      </c>
      <c r="G1216" t="s">
        <v>24</v>
      </c>
      <c r="H1216">
        <v>76</v>
      </c>
      <c r="I1216">
        <v>2.69</v>
      </c>
      <c r="J1216">
        <v>1.46</v>
      </c>
      <c r="K1216" t="s">
        <v>15</v>
      </c>
      <c r="L1216">
        <v>65</v>
      </c>
      <c r="M1216">
        <v>179</v>
      </c>
      <c r="N1216">
        <v>81</v>
      </c>
      <c r="O1216">
        <v>65</v>
      </c>
      <c r="P1216" t="s">
        <v>44</v>
      </c>
    </row>
    <row r="1217" spans="1:16" x14ac:dyDescent="0.25">
      <c r="A1217">
        <v>1227</v>
      </c>
      <c r="B1217" s="2">
        <v>44160.293749999997</v>
      </c>
      <c r="C1217" s="2">
        <v>44160.53125</v>
      </c>
      <c r="D1217">
        <v>1</v>
      </c>
      <c r="E1217" t="s">
        <v>4</v>
      </c>
      <c r="F1217" t="s">
        <v>3</v>
      </c>
      <c r="G1217" t="s">
        <v>33</v>
      </c>
      <c r="H1217">
        <v>75</v>
      </c>
      <c r="I1217">
        <v>4.25</v>
      </c>
      <c r="J1217">
        <v>1.99</v>
      </c>
      <c r="K1217" t="s">
        <v>15</v>
      </c>
      <c r="L1217">
        <v>69</v>
      </c>
      <c r="M1217">
        <v>182</v>
      </c>
      <c r="N1217">
        <v>85</v>
      </c>
      <c r="O1217">
        <v>55</v>
      </c>
      <c r="P1217" t="s">
        <v>44</v>
      </c>
    </row>
    <row r="1218" spans="1:16" x14ac:dyDescent="0.25">
      <c r="A1218">
        <v>1228</v>
      </c>
      <c r="B1218" s="2">
        <v>44160.297222222223</v>
      </c>
      <c r="C1218" s="2">
        <v>44160.618055555555</v>
      </c>
      <c r="D1218">
        <v>5</v>
      </c>
      <c r="E1218" t="s">
        <v>4</v>
      </c>
      <c r="F1218" t="s">
        <v>3</v>
      </c>
      <c r="G1218" t="s">
        <v>28</v>
      </c>
      <c r="H1218">
        <v>73</v>
      </c>
      <c r="I1218">
        <v>3.74</v>
      </c>
      <c r="J1218">
        <v>0.73</v>
      </c>
      <c r="K1218" t="s">
        <v>15</v>
      </c>
      <c r="L1218">
        <v>122</v>
      </c>
      <c r="M1218">
        <v>170</v>
      </c>
      <c r="N1218">
        <v>80</v>
      </c>
      <c r="O1218">
        <v>60</v>
      </c>
      <c r="P1218" t="s">
        <v>44</v>
      </c>
    </row>
    <row r="1219" spans="1:16" x14ac:dyDescent="0.25">
      <c r="A1219">
        <v>1229</v>
      </c>
      <c r="B1219" s="2">
        <v>44160.659722222219</v>
      </c>
      <c r="C1219" s="2">
        <v>44161.340277777781</v>
      </c>
      <c r="D1219">
        <v>4</v>
      </c>
      <c r="E1219" t="s">
        <v>4</v>
      </c>
      <c r="F1219" t="s">
        <v>3</v>
      </c>
      <c r="G1219" t="s">
        <v>23</v>
      </c>
      <c r="H1219">
        <v>73</v>
      </c>
      <c r="I1219">
        <v>3.74</v>
      </c>
      <c r="J1219">
        <v>0.81</v>
      </c>
      <c r="K1219" t="s">
        <v>15</v>
      </c>
      <c r="L1219">
        <v>83</v>
      </c>
      <c r="M1219">
        <v>93</v>
      </c>
      <c r="N1219">
        <v>185</v>
      </c>
      <c r="O1219">
        <v>20</v>
      </c>
      <c r="P1219" t="s">
        <v>47</v>
      </c>
    </row>
    <row r="1220" spans="1:16" x14ac:dyDescent="0.25">
      <c r="A1220">
        <v>1230</v>
      </c>
      <c r="B1220" s="2">
        <v>44160.666666666664</v>
      </c>
      <c r="C1220" s="2">
        <v>44161.343055555553</v>
      </c>
      <c r="D1220">
        <v>5</v>
      </c>
      <c r="E1220" t="s">
        <v>4</v>
      </c>
      <c r="F1220" t="s">
        <v>11</v>
      </c>
      <c r="G1220" t="s">
        <v>31</v>
      </c>
      <c r="H1220">
        <v>71</v>
      </c>
      <c r="I1220">
        <v>5.54</v>
      </c>
      <c r="J1220">
        <v>1.85</v>
      </c>
      <c r="K1220" t="s">
        <v>15</v>
      </c>
      <c r="L1220">
        <v>95</v>
      </c>
      <c r="M1220">
        <v>173</v>
      </c>
      <c r="N1220">
        <v>99</v>
      </c>
      <c r="O1220">
        <v>55</v>
      </c>
      <c r="P1220" t="s">
        <v>44</v>
      </c>
    </row>
    <row r="1221" spans="1:16" x14ac:dyDescent="0.25">
      <c r="A1221">
        <v>1231</v>
      </c>
      <c r="B1221" s="2">
        <v>44160.659722222219</v>
      </c>
      <c r="C1221" s="2">
        <v>44161.34375</v>
      </c>
      <c r="D1221">
        <v>1</v>
      </c>
      <c r="E1221" t="s">
        <v>4</v>
      </c>
      <c r="F1221" t="s">
        <v>1</v>
      </c>
      <c r="G1221" t="s">
        <v>34</v>
      </c>
      <c r="H1221">
        <v>52</v>
      </c>
      <c r="I1221">
        <v>4.6500000000000004</v>
      </c>
      <c r="J1221">
        <v>2.2000000000000002</v>
      </c>
      <c r="K1221" t="s">
        <v>15</v>
      </c>
      <c r="L1221">
        <v>120</v>
      </c>
      <c r="M1221">
        <v>167</v>
      </c>
      <c r="N1221">
        <v>73</v>
      </c>
      <c r="O1221">
        <v>60</v>
      </c>
      <c r="P1221" t="s">
        <v>44</v>
      </c>
    </row>
    <row r="1222" spans="1:16" x14ac:dyDescent="0.25">
      <c r="A1222">
        <v>1232</v>
      </c>
      <c r="B1222" s="2">
        <v>44161.288194444445</v>
      </c>
      <c r="C1222" s="2">
        <v>44161.576388888891</v>
      </c>
      <c r="D1222">
        <v>1</v>
      </c>
      <c r="E1222" t="s">
        <v>4</v>
      </c>
      <c r="F1222" t="s">
        <v>10</v>
      </c>
      <c r="G1222" t="s">
        <v>34</v>
      </c>
      <c r="H1222">
        <v>73</v>
      </c>
      <c r="I1222">
        <v>2.21</v>
      </c>
      <c r="J1222">
        <v>0.97</v>
      </c>
      <c r="K1222" t="s">
        <v>15</v>
      </c>
      <c r="L1222">
        <v>66</v>
      </c>
      <c r="M1222">
        <v>177</v>
      </c>
      <c r="N1222">
        <v>94</v>
      </c>
      <c r="O1222">
        <v>41</v>
      </c>
      <c r="P1222" t="s">
        <v>46</v>
      </c>
    </row>
    <row r="1223" spans="1:16" x14ac:dyDescent="0.25">
      <c r="A1223">
        <v>1233</v>
      </c>
      <c r="B1223" s="2">
        <v>44155.504166666666</v>
      </c>
      <c r="C1223" s="2">
        <v>44161.581944444442</v>
      </c>
      <c r="D1223">
        <v>5</v>
      </c>
      <c r="E1223" t="s">
        <v>6</v>
      </c>
      <c r="F1223" t="s">
        <v>10</v>
      </c>
      <c r="G1223" t="s">
        <v>31</v>
      </c>
      <c r="H1223">
        <v>81</v>
      </c>
      <c r="I1223">
        <v>7.53</v>
      </c>
      <c r="J1223">
        <v>3.49</v>
      </c>
      <c r="K1223" t="s">
        <v>15</v>
      </c>
      <c r="L1223">
        <v>66</v>
      </c>
      <c r="M1223">
        <v>172</v>
      </c>
      <c r="N1223">
        <v>92</v>
      </c>
      <c r="O1223">
        <v>58</v>
      </c>
      <c r="P1223" t="s">
        <v>44</v>
      </c>
    </row>
    <row r="1224" spans="1:16" x14ac:dyDescent="0.25">
      <c r="A1224">
        <v>1234</v>
      </c>
      <c r="B1224" s="2">
        <v>44160.666666666664</v>
      </c>
      <c r="C1224" s="2">
        <v>44161.595833333333</v>
      </c>
      <c r="D1224">
        <v>4</v>
      </c>
      <c r="E1224" t="s">
        <v>4</v>
      </c>
      <c r="F1224" t="s">
        <v>1</v>
      </c>
      <c r="G1224" t="s">
        <v>23</v>
      </c>
      <c r="H1224">
        <v>62</v>
      </c>
      <c r="I1224">
        <v>7.65</v>
      </c>
      <c r="J1224">
        <v>3.86</v>
      </c>
      <c r="K1224" t="s">
        <v>15</v>
      </c>
      <c r="L1224">
        <v>100</v>
      </c>
      <c r="M1224">
        <v>172</v>
      </c>
      <c r="N1224">
        <v>85</v>
      </c>
      <c r="O1224">
        <v>60</v>
      </c>
      <c r="P1224" t="s">
        <v>44</v>
      </c>
    </row>
    <row r="1225" spans="1:16" x14ac:dyDescent="0.25">
      <c r="A1225">
        <v>1235</v>
      </c>
      <c r="B1225" s="2">
        <v>44160.629166666666</v>
      </c>
      <c r="C1225" s="2">
        <v>44161.70416666667</v>
      </c>
      <c r="D1225">
        <v>3</v>
      </c>
      <c r="E1225" t="s">
        <v>2</v>
      </c>
      <c r="F1225" t="s">
        <v>5</v>
      </c>
      <c r="G1225" t="s">
        <v>33</v>
      </c>
      <c r="H1225">
        <v>60</v>
      </c>
      <c r="I1225">
        <v>42.86</v>
      </c>
      <c r="J1225">
        <v>49.48</v>
      </c>
      <c r="K1225" t="s">
        <v>13</v>
      </c>
      <c r="L1225">
        <v>73</v>
      </c>
      <c r="M1225">
        <v>170</v>
      </c>
      <c r="N1225">
        <v>123</v>
      </c>
      <c r="O1225">
        <v>45</v>
      </c>
      <c r="P1225" t="s">
        <v>46</v>
      </c>
    </row>
    <row r="1226" spans="1:16" x14ac:dyDescent="0.25">
      <c r="A1226">
        <v>1236</v>
      </c>
      <c r="B1226" s="2">
        <v>44162.299305555556</v>
      </c>
      <c r="C1226" s="2">
        <v>44162.38958333333</v>
      </c>
      <c r="D1226">
        <v>1</v>
      </c>
      <c r="E1226" t="s">
        <v>2</v>
      </c>
      <c r="F1226" t="s">
        <v>1</v>
      </c>
      <c r="G1226" t="s">
        <v>23</v>
      </c>
      <c r="H1226">
        <v>78</v>
      </c>
      <c r="I1226">
        <v>26.07</v>
      </c>
      <c r="J1226">
        <v>5.35</v>
      </c>
      <c r="K1226" t="s">
        <v>15</v>
      </c>
      <c r="L1226">
        <v>72</v>
      </c>
      <c r="M1226">
        <v>170</v>
      </c>
      <c r="N1226">
        <v>76</v>
      </c>
      <c r="O1226">
        <v>47</v>
      </c>
      <c r="P1226" t="s">
        <v>46</v>
      </c>
    </row>
    <row r="1227" spans="1:16" x14ac:dyDescent="0.25">
      <c r="A1227">
        <v>1237</v>
      </c>
      <c r="B1227" s="2">
        <v>44161.458333333336</v>
      </c>
      <c r="C1227" s="2">
        <v>44162.513888888891</v>
      </c>
      <c r="D1227">
        <v>3</v>
      </c>
      <c r="E1227" t="s">
        <v>6</v>
      </c>
      <c r="F1227" t="s">
        <v>10</v>
      </c>
      <c r="G1227" t="s">
        <v>30</v>
      </c>
      <c r="H1227">
        <v>76</v>
      </c>
      <c r="I1227">
        <v>4.6399999999999997</v>
      </c>
      <c r="J1227">
        <v>1.35</v>
      </c>
      <c r="K1227" t="s">
        <v>15</v>
      </c>
      <c r="L1227">
        <v>100</v>
      </c>
      <c r="M1227">
        <v>160</v>
      </c>
      <c r="N1227">
        <v>87</v>
      </c>
      <c r="O1227">
        <v>55</v>
      </c>
      <c r="P1227" t="s">
        <v>44</v>
      </c>
    </row>
    <row r="1228" spans="1:16" x14ac:dyDescent="0.25">
      <c r="A1228">
        <v>1238</v>
      </c>
      <c r="B1228" s="2">
        <v>44161.458333333336</v>
      </c>
      <c r="C1228" s="2">
        <v>44162.51458333333</v>
      </c>
      <c r="D1228">
        <v>4</v>
      </c>
      <c r="E1228" t="s">
        <v>6</v>
      </c>
      <c r="F1228" t="s">
        <v>11</v>
      </c>
      <c r="G1228" t="s">
        <v>24</v>
      </c>
      <c r="H1228">
        <v>76</v>
      </c>
      <c r="I1228">
        <v>16.940000000000001</v>
      </c>
      <c r="J1228">
        <v>7.94</v>
      </c>
      <c r="K1228" t="s">
        <v>15</v>
      </c>
      <c r="L1228">
        <v>117</v>
      </c>
      <c r="M1228">
        <v>180</v>
      </c>
      <c r="N1228">
        <v>98</v>
      </c>
      <c r="O1228">
        <v>47</v>
      </c>
      <c r="P1228" t="s">
        <v>46</v>
      </c>
    </row>
    <row r="1229" spans="1:16" x14ac:dyDescent="0.25">
      <c r="A1229">
        <v>1239</v>
      </c>
      <c r="B1229" s="2">
        <v>44162.666666666664</v>
      </c>
      <c r="C1229" s="2">
        <v>44163.339583333334</v>
      </c>
      <c r="D1229">
        <v>5</v>
      </c>
      <c r="E1229" t="s">
        <v>4</v>
      </c>
      <c r="F1229" t="s">
        <v>3</v>
      </c>
      <c r="G1229" t="s">
        <v>35</v>
      </c>
      <c r="H1229">
        <v>34</v>
      </c>
      <c r="I1229">
        <v>2.08</v>
      </c>
      <c r="J1229">
        <v>0.62</v>
      </c>
      <c r="K1229" t="s">
        <v>15</v>
      </c>
      <c r="L1229">
        <v>69</v>
      </c>
      <c r="M1229">
        <v>172</v>
      </c>
      <c r="N1229">
        <v>79</v>
      </c>
      <c r="O1229">
        <v>42</v>
      </c>
      <c r="P1229" t="s">
        <v>46</v>
      </c>
    </row>
    <row r="1230" spans="1:16" x14ac:dyDescent="0.25">
      <c r="A1230">
        <v>1240</v>
      </c>
      <c r="B1230" s="2">
        <v>44163.291666666664</v>
      </c>
      <c r="C1230" s="2">
        <v>44163.541666666664</v>
      </c>
      <c r="D1230">
        <v>5</v>
      </c>
      <c r="E1230" t="s">
        <v>4</v>
      </c>
      <c r="F1230" t="s">
        <v>3</v>
      </c>
      <c r="G1230" t="s">
        <v>35</v>
      </c>
      <c r="H1230">
        <v>88</v>
      </c>
      <c r="I1230">
        <v>9.5500000000000007</v>
      </c>
      <c r="J1230">
        <v>3.43</v>
      </c>
      <c r="K1230" t="s">
        <v>15</v>
      </c>
      <c r="L1230">
        <v>89</v>
      </c>
      <c r="M1230">
        <v>180</v>
      </c>
      <c r="N1230">
        <v>80</v>
      </c>
      <c r="O1230">
        <v>60</v>
      </c>
      <c r="P1230" t="s">
        <v>44</v>
      </c>
    </row>
    <row r="1231" spans="1:16" x14ac:dyDescent="0.25">
      <c r="A1231">
        <v>1241</v>
      </c>
      <c r="B1231" s="2">
        <v>44164.574305555558</v>
      </c>
      <c r="C1231" s="2">
        <v>44165.336805555555</v>
      </c>
      <c r="D1231">
        <v>1</v>
      </c>
      <c r="E1231" t="s">
        <v>4</v>
      </c>
      <c r="F1231" t="s">
        <v>11</v>
      </c>
      <c r="G1231" t="s">
        <v>33</v>
      </c>
      <c r="H1231">
        <v>74</v>
      </c>
      <c r="I1231">
        <v>6.37</v>
      </c>
      <c r="J1231">
        <v>1.71</v>
      </c>
      <c r="K1231" t="s">
        <v>15</v>
      </c>
      <c r="L1231">
        <v>81</v>
      </c>
      <c r="M1231">
        <v>166</v>
      </c>
      <c r="N1231">
        <v>75</v>
      </c>
      <c r="O1231">
        <v>45</v>
      </c>
      <c r="P1231" t="s">
        <v>46</v>
      </c>
    </row>
    <row r="1232" spans="1:16" x14ac:dyDescent="0.25">
      <c r="A1232">
        <v>1242</v>
      </c>
      <c r="B1232" s="2">
        <v>44164.666666666664</v>
      </c>
      <c r="C1232" s="2">
        <v>44165.342361111114</v>
      </c>
      <c r="D1232">
        <v>5</v>
      </c>
      <c r="E1232" t="s">
        <v>4</v>
      </c>
      <c r="F1232" t="s">
        <v>11</v>
      </c>
      <c r="G1232" t="s">
        <v>31</v>
      </c>
      <c r="H1232">
        <v>77</v>
      </c>
      <c r="I1232">
        <v>19.57</v>
      </c>
      <c r="J1232">
        <v>5.69</v>
      </c>
      <c r="K1232" t="s">
        <v>15</v>
      </c>
      <c r="L1232">
        <v>89</v>
      </c>
      <c r="M1232">
        <v>168</v>
      </c>
      <c r="N1232">
        <v>78</v>
      </c>
      <c r="O1232">
        <v>45</v>
      </c>
      <c r="P1232" t="s">
        <v>46</v>
      </c>
    </row>
    <row r="1233" spans="1:16" x14ac:dyDescent="0.25">
      <c r="A1233">
        <v>1243</v>
      </c>
      <c r="B1233" s="2">
        <v>44164.625</v>
      </c>
      <c r="C1233" s="2">
        <v>44165.353472222225</v>
      </c>
      <c r="D1233">
        <v>6</v>
      </c>
      <c r="E1233" t="s">
        <v>4</v>
      </c>
      <c r="F1233" t="s">
        <v>1</v>
      </c>
      <c r="G1233" t="s">
        <v>23</v>
      </c>
      <c r="H1233">
        <v>73</v>
      </c>
      <c r="I1233">
        <v>11.02</v>
      </c>
      <c r="J1233">
        <v>2.37</v>
      </c>
      <c r="K1233" t="s">
        <v>15</v>
      </c>
      <c r="L1233">
        <v>87</v>
      </c>
      <c r="M1233">
        <v>166</v>
      </c>
      <c r="N1233">
        <v>79</v>
      </c>
      <c r="O1233">
        <v>60</v>
      </c>
      <c r="P1233" t="s">
        <v>44</v>
      </c>
    </row>
    <row r="1234" spans="1:16" x14ac:dyDescent="0.25">
      <c r="A1234">
        <v>1244</v>
      </c>
      <c r="B1234" s="2">
        <v>44161.666666666664</v>
      </c>
      <c r="C1234" s="2">
        <v>44165.612500000003</v>
      </c>
      <c r="D1234">
        <v>5</v>
      </c>
      <c r="E1234" t="s">
        <v>4</v>
      </c>
      <c r="F1234" t="s">
        <v>3</v>
      </c>
      <c r="G1234" t="s">
        <v>27</v>
      </c>
      <c r="H1234">
        <v>79</v>
      </c>
      <c r="I1234">
        <v>33.74</v>
      </c>
      <c r="J1234">
        <v>17.02</v>
      </c>
      <c r="K1234" t="s">
        <v>13</v>
      </c>
      <c r="L1234">
        <v>63</v>
      </c>
      <c r="M1234">
        <v>173</v>
      </c>
      <c r="N1234">
        <v>73</v>
      </c>
      <c r="O1234">
        <v>87</v>
      </c>
      <c r="P1234" t="s">
        <v>44</v>
      </c>
    </row>
    <row r="1235" spans="1:16" x14ac:dyDescent="0.25">
      <c r="A1235">
        <v>1245</v>
      </c>
      <c r="B1235" s="2">
        <v>44165.679166666669</v>
      </c>
      <c r="C1235" s="2">
        <v>44166.329861111109</v>
      </c>
      <c r="D1235">
        <v>1</v>
      </c>
      <c r="E1235" t="s">
        <v>4</v>
      </c>
      <c r="F1235" t="s">
        <v>10</v>
      </c>
      <c r="G1235" t="s">
        <v>29</v>
      </c>
      <c r="H1235">
        <v>71</v>
      </c>
      <c r="I1235">
        <v>2.92</v>
      </c>
      <c r="J1235">
        <v>1.4</v>
      </c>
      <c r="K1235" t="s">
        <v>15</v>
      </c>
      <c r="L1235">
        <v>107</v>
      </c>
      <c r="M1235">
        <v>179</v>
      </c>
      <c r="N1235">
        <v>111</v>
      </c>
      <c r="O1235">
        <v>55</v>
      </c>
      <c r="P1235" t="s">
        <v>44</v>
      </c>
    </row>
    <row r="1236" spans="1:16" x14ac:dyDescent="0.25">
      <c r="A1236">
        <v>1246</v>
      </c>
      <c r="B1236" s="2">
        <v>44163.541666666664</v>
      </c>
      <c r="C1236" s="2">
        <v>44166.340277777781</v>
      </c>
      <c r="D1236">
        <v>5</v>
      </c>
      <c r="E1236" t="s">
        <v>4</v>
      </c>
      <c r="F1236" t="s">
        <v>11</v>
      </c>
      <c r="G1236" t="s">
        <v>28</v>
      </c>
      <c r="H1236">
        <v>77</v>
      </c>
      <c r="I1236">
        <v>8.9</v>
      </c>
      <c r="J1236">
        <v>8.35</v>
      </c>
      <c r="K1236" t="s">
        <v>15</v>
      </c>
      <c r="L1236">
        <v>103</v>
      </c>
      <c r="M1236">
        <v>180</v>
      </c>
      <c r="N1236">
        <v>96</v>
      </c>
      <c r="O1236">
        <v>60</v>
      </c>
      <c r="P1236" t="s">
        <v>44</v>
      </c>
    </row>
    <row r="1237" spans="1:16" x14ac:dyDescent="0.25">
      <c r="A1237">
        <v>1247</v>
      </c>
      <c r="B1237" s="2">
        <v>44164.583333333336</v>
      </c>
      <c r="C1237" s="2">
        <v>44166.350694444445</v>
      </c>
      <c r="D1237">
        <v>4</v>
      </c>
      <c r="E1237" t="s">
        <v>6</v>
      </c>
      <c r="F1237" t="s">
        <v>11</v>
      </c>
      <c r="G1237" t="s">
        <v>26</v>
      </c>
      <c r="H1237">
        <v>62</v>
      </c>
      <c r="I1237">
        <v>4.84</v>
      </c>
      <c r="J1237">
        <v>10.3</v>
      </c>
      <c r="K1237" t="s">
        <v>15</v>
      </c>
      <c r="L1237">
        <v>91</v>
      </c>
      <c r="M1237">
        <v>149</v>
      </c>
      <c r="N1237">
        <v>48</v>
      </c>
      <c r="O1237">
        <v>55</v>
      </c>
      <c r="P1237" t="s">
        <v>44</v>
      </c>
    </row>
    <row r="1238" spans="1:16" x14ac:dyDescent="0.25">
      <c r="A1238">
        <v>1248</v>
      </c>
      <c r="B1238" s="2">
        <v>44164.397222222222</v>
      </c>
      <c r="C1238" s="2">
        <v>44166.588888888888</v>
      </c>
      <c r="D1238">
        <v>1</v>
      </c>
      <c r="E1238" t="s">
        <v>6</v>
      </c>
      <c r="F1238" t="s">
        <v>10</v>
      </c>
      <c r="G1238" t="s">
        <v>29</v>
      </c>
      <c r="H1238">
        <v>69</v>
      </c>
      <c r="I1238">
        <v>9.3800000000000008</v>
      </c>
      <c r="J1238">
        <v>2.79</v>
      </c>
      <c r="K1238" t="s">
        <v>15</v>
      </c>
      <c r="L1238">
        <v>82</v>
      </c>
      <c r="M1238">
        <v>162</v>
      </c>
      <c r="N1238">
        <v>66</v>
      </c>
      <c r="O1238">
        <v>50</v>
      </c>
      <c r="P1238" t="s">
        <v>46</v>
      </c>
    </row>
    <row r="1239" spans="1:16" x14ac:dyDescent="0.25">
      <c r="A1239">
        <v>1249</v>
      </c>
      <c r="B1239" s="2">
        <v>44166.291666666664</v>
      </c>
      <c r="C1239" s="2">
        <v>44166.654861111114</v>
      </c>
      <c r="D1239">
        <v>5</v>
      </c>
      <c r="E1239" t="s">
        <v>4</v>
      </c>
      <c r="F1239" t="s">
        <v>3</v>
      </c>
      <c r="G1239" t="s">
        <v>28</v>
      </c>
      <c r="H1239">
        <v>52</v>
      </c>
      <c r="I1239">
        <v>1.51</v>
      </c>
      <c r="J1239">
        <v>0.56000000000000005</v>
      </c>
      <c r="K1239" t="s">
        <v>15</v>
      </c>
      <c r="L1239">
        <v>113</v>
      </c>
      <c r="M1239">
        <v>163</v>
      </c>
      <c r="N1239">
        <v>53</v>
      </c>
      <c r="O1239">
        <v>60</v>
      </c>
      <c r="P1239" t="s">
        <v>44</v>
      </c>
    </row>
    <row r="1240" spans="1:16" x14ac:dyDescent="0.25">
      <c r="A1240">
        <v>1250</v>
      </c>
      <c r="B1240" s="2">
        <v>44166.656944444447</v>
      </c>
      <c r="C1240" s="2">
        <v>44167.333333333336</v>
      </c>
      <c r="D1240">
        <v>4</v>
      </c>
      <c r="E1240" t="s">
        <v>4</v>
      </c>
      <c r="F1240" t="s">
        <v>3</v>
      </c>
      <c r="G1240" t="s">
        <v>35</v>
      </c>
      <c r="H1240">
        <v>76</v>
      </c>
      <c r="I1240">
        <v>2.69</v>
      </c>
      <c r="J1240">
        <v>0.78</v>
      </c>
      <c r="K1240" t="s">
        <v>15</v>
      </c>
      <c r="L1240">
        <v>91</v>
      </c>
      <c r="M1240">
        <v>177</v>
      </c>
      <c r="N1240">
        <v>111</v>
      </c>
      <c r="O1240">
        <v>33</v>
      </c>
      <c r="P1240" t="s">
        <v>46</v>
      </c>
    </row>
    <row r="1241" spans="1:16" x14ac:dyDescent="0.25">
      <c r="A1241">
        <v>1251</v>
      </c>
      <c r="B1241" s="2">
        <v>44154.5</v>
      </c>
      <c r="C1241" s="2">
        <v>44167.347916666666</v>
      </c>
      <c r="D1241">
        <v>1</v>
      </c>
      <c r="E1241" t="s">
        <v>4</v>
      </c>
      <c r="F1241" t="s">
        <v>1</v>
      </c>
      <c r="G1241" t="s">
        <v>27</v>
      </c>
      <c r="H1241">
        <v>55</v>
      </c>
      <c r="I1241">
        <v>15.6</v>
      </c>
      <c r="J1241">
        <v>8.85</v>
      </c>
      <c r="K1241" t="s">
        <v>15</v>
      </c>
      <c r="L1241">
        <v>93</v>
      </c>
      <c r="M1241">
        <v>157</v>
      </c>
      <c r="N1241">
        <v>81</v>
      </c>
      <c r="O1241">
        <v>55</v>
      </c>
      <c r="P1241" t="s">
        <v>44</v>
      </c>
    </row>
    <row r="1242" spans="1:16" x14ac:dyDescent="0.25">
      <c r="A1242">
        <v>1252</v>
      </c>
      <c r="B1242" s="2">
        <v>44166.5625</v>
      </c>
      <c r="C1242" s="2">
        <v>44167.375</v>
      </c>
      <c r="D1242">
        <v>5</v>
      </c>
      <c r="E1242" t="s">
        <v>6</v>
      </c>
      <c r="F1242" t="s">
        <v>10</v>
      </c>
      <c r="G1242" t="s">
        <v>28</v>
      </c>
      <c r="H1242">
        <v>77</v>
      </c>
      <c r="I1242">
        <v>2.87</v>
      </c>
      <c r="J1242">
        <v>1.5</v>
      </c>
      <c r="K1242" t="s">
        <v>15</v>
      </c>
      <c r="L1242">
        <v>73</v>
      </c>
      <c r="M1242">
        <v>183</v>
      </c>
      <c r="N1242">
        <v>54</v>
      </c>
      <c r="O1242">
        <v>60</v>
      </c>
      <c r="P1242" t="s">
        <v>44</v>
      </c>
    </row>
    <row r="1243" spans="1:16" x14ac:dyDescent="0.25">
      <c r="A1243">
        <v>1253</v>
      </c>
      <c r="B1243" s="2">
        <v>44167.291666666664</v>
      </c>
      <c r="C1243" s="2">
        <v>44167.597222222219</v>
      </c>
      <c r="D1243">
        <v>5</v>
      </c>
      <c r="E1243" t="s">
        <v>4</v>
      </c>
      <c r="F1243" t="s">
        <v>3</v>
      </c>
      <c r="G1243" t="s">
        <v>28</v>
      </c>
      <c r="H1243">
        <v>69</v>
      </c>
      <c r="I1243">
        <v>2.89</v>
      </c>
      <c r="J1243">
        <v>3.19</v>
      </c>
      <c r="K1243" t="s">
        <v>15</v>
      </c>
      <c r="L1243">
        <v>74</v>
      </c>
      <c r="M1243">
        <v>174</v>
      </c>
      <c r="N1243">
        <v>80</v>
      </c>
      <c r="O1243">
        <v>60</v>
      </c>
      <c r="P1243" t="s">
        <v>44</v>
      </c>
    </row>
    <row r="1244" spans="1:16" x14ac:dyDescent="0.25">
      <c r="A1244">
        <v>1254</v>
      </c>
      <c r="B1244" s="2">
        <v>44166.563194444447</v>
      </c>
      <c r="C1244" s="2">
        <v>44167.611111111109</v>
      </c>
      <c r="D1244">
        <v>4</v>
      </c>
      <c r="E1244" t="s">
        <v>4</v>
      </c>
      <c r="F1244" t="s">
        <v>3</v>
      </c>
      <c r="G1244" t="s">
        <v>35</v>
      </c>
      <c r="H1244">
        <v>77</v>
      </c>
      <c r="I1244">
        <v>2.87</v>
      </c>
      <c r="J1244">
        <v>0.9</v>
      </c>
      <c r="K1244" t="s">
        <v>15</v>
      </c>
      <c r="L1244">
        <v>80</v>
      </c>
      <c r="M1244">
        <v>170</v>
      </c>
      <c r="N1244">
        <v>96</v>
      </c>
      <c r="O1244">
        <v>60</v>
      </c>
      <c r="P1244" t="s">
        <v>44</v>
      </c>
    </row>
    <row r="1245" spans="1:16" x14ac:dyDescent="0.25">
      <c r="A1245">
        <v>1255</v>
      </c>
      <c r="B1245" s="2">
        <v>44167.617361111108</v>
      </c>
      <c r="C1245" s="2">
        <v>44168.333333333336</v>
      </c>
      <c r="D1245">
        <v>1</v>
      </c>
      <c r="E1245" t="s">
        <v>4</v>
      </c>
      <c r="F1245" t="s">
        <v>3</v>
      </c>
      <c r="G1245" t="s">
        <v>23</v>
      </c>
      <c r="H1245">
        <v>53</v>
      </c>
      <c r="I1245">
        <v>1.43</v>
      </c>
      <c r="J1245">
        <v>0.81</v>
      </c>
      <c r="K1245" t="s">
        <v>15</v>
      </c>
      <c r="L1245">
        <v>119</v>
      </c>
      <c r="M1245">
        <v>181</v>
      </c>
      <c r="N1245">
        <v>82</v>
      </c>
      <c r="O1245">
        <v>55</v>
      </c>
      <c r="P1245" t="s">
        <v>44</v>
      </c>
    </row>
    <row r="1246" spans="1:16" x14ac:dyDescent="0.25">
      <c r="A1246">
        <v>1256</v>
      </c>
      <c r="B1246" s="2">
        <v>44159.399305555555</v>
      </c>
      <c r="C1246" s="2">
        <v>44168.333333333336</v>
      </c>
      <c r="D1246">
        <v>4</v>
      </c>
      <c r="E1246" t="s">
        <v>6</v>
      </c>
      <c r="F1246" t="s">
        <v>10</v>
      </c>
      <c r="G1246" t="s">
        <v>21</v>
      </c>
      <c r="H1246">
        <v>80</v>
      </c>
      <c r="I1246">
        <v>5.85</v>
      </c>
      <c r="J1246">
        <v>1.38</v>
      </c>
      <c r="K1246" t="s">
        <v>15</v>
      </c>
      <c r="L1246">
        <v>65</v>
      </c>
      <c r="M1246">
        <v>151</v>
      </c>
      <c r="N1246">
        <v>53</v>
      </c>
      <c r="O1246">
        <v>65</v>
      </c>
      <c r="P1246" t="s">
        <v>44</v>
      </c>
    </row>
    <row r="1247" spans="1:16" x14ac:dyDescent="0.25">
      <c r="A1247">
        <v>1257</v>
      </c>
      <c r="B1247" s="2">
        <v>44167.648611111108</v>
      </c>
      <c r="C1247" s="2">
        <v>44168.339583333334</v>
      </c>
      <c r="D1247">
        <v>3</v>
      </c>
      <c r="E1247" t="s">
        <v>4</v>
      </c>
      <c r="F1247" t="s">
        <v>3</v>
      </c>
      <c r="G1247" t="s">
        <v>33</v>
      </c>
      <c r="H1247">
        <v>74</v>
      </c>
      <c r="I1247">
        <v>12.58</v>
      </c>
      <c r="J1247">
        <v>2.2799999999999998</v>
      </c>
      <c r="K1247" t="s">
        <v>15</v>
      </c>
      <c r="L1247">
        <v>90</v>
      </c>
      <c r="M1247">
        <v>174</v>
      </c>
      <c r="N1247">
        <v>80</v>
      </c>
      <c r="O1247">
        <v>29</v>
      </c>
      <c r="P1247" t="s">
        <v>45</v>
      </c>
    </row>
    <row r="1248" spans="1:16" x14ac:dyDescent="0.25">
      <c r="A1248">
        <v>1258</v>
      </c>
      <c r="B1248" s="2">
        <v>44166.541666666664</v>
      </c>
      <c r="C1248" s="2">
        <v>44168.340277777781</v>
      </c>
      <c r="D1248">
        <v>5</v>
      </c>
      <c r="E1248" t="s">
        <v>6</v>
      </c>
      <c r="F1248" t="s">
        <v>10</v>
      </c>
      <c r="G1248" t="s">
        <v>31</v>
      </c>
      <c r="H1248">
        <v>70</v>
      </c>
      <c r="I1248">
        <v>4.26</v>
      </c>
      <c r="J1248">
        <v>1.98</v>
      </c>
      <c r="K1248" t="s">
        <v>15</v>
      </c>
      <c r="L1248">
        <v>80</v>
      </c>
      <c r="M1248">
        <v>166</v>
      </c>
      <c r="N1248">
        <v>70</v>
      </c>
      <c r="O1248">
        <v>68</v>
      </c>
      <c r="P1248" t="s">
        <v>44</v>
      </c>
    </row>
    <row r="1249" spans="1:16" x14ac:dyDescent="0.25">
      <c r="A1249">
        <v>1259</v>
      </c>
      <c r="B1249" s="2">
        <v>44168.305555555555</v>
      </c>
      <c r="C1249" s="2">
        <v>44168.544444444444</v>
      </c>
      <c r="D1249">
        <v>1</v>
      </c>
      <c r="E1249" t="s">
        <v>4</v>
      </c>
      <c r="F1249" t="s">
        <v>10</v>
      </c>
      <c r="G1249" t="s">
        <v>23</v>
      </c>
      <c r="H1249">
        <v>62</v>
      </c>
      <c r="I1249">
        <v>1.07</v>
      </c>
      <c r="J1249">
        <v>0.59</v>
      </c>
      <c r="K1249" t="s">
        <v>15</v>
      </c>
      <c r="L1249">
        <v>77</v>
      </c>
      <c r="M1249">
        <v>160</v>
      </c>
      <c r="N1249">
        <v>64</v>
      </c>
      <c r="O1249">
        <v>35</v>
      </c>
      <c r="P1249" t="s">
        <v>46</v>
      </c>
    </row>
    <row r="1250" spans="1:16" x14ac:dyDescent="0.25">
      <c r="A1250">
        <v>1260</v>
      </c>
      <c r="B1250" s="2">
        <v>44168.667361111111</v>
      </c>
      <c r="C1250" s="2">
        <v>44169.333333333336</v>
      </c>
      <c r="D1250">
        <v>5</v>
      </c>
      <c r="E1250" t="s">
        <v>4</v>
      </c>
      <c r="F1250" t="s">
        <v>11</v>
      </c>
      <c r="G1250" t="s">
        <v>35</v>
      </c>
      <c r="H1250">
        <v>78</v>
      </c>
      <c r="I1250">
        <v>3.06</v>
      </c>
      <c r="J1250">
        <v>1.31</v>
      </c>
      <c r="K1250" t="s">
        <v>15</v>
      </c>
      <c r="L1250">
        <v>82</v>
      </c>
      <c r="M1250">
        <v>160</v>
      </c>
      <c r="N1250">
        <v>87</v>
      </c>
      <c r="O1250">
        <v>49</v>
      </c>
      <c r="P1250" t="s">
        <v>46</v>
      </c>
    </row>
    <row r="1251" spans="1:16" x14ac:dyDescent="0.25">
      <c r="A1251">
        <v>1261</v>
      </c>
      <c r="B1251" s="2">
        <v>44168.672222222223</v>
      </c>
      <c r="C1251" s="2">
        <v>44169.340277777781</v>
      </c>
      <c r="D1251">
        <v>1</v>
      </c>
      <c r="E1251" t="s">
        <v>4</v>
      </c>
      <c r="F1251" t="s">
        <v>10</v>
      </c>
      <c r="G1251" t="s">
        <v>27</v>
      </c>
      <c r="H1251">
        <v>65</v>
      </c>
      <c r="I1251">
        <v>3.2</v>
      </c>
      <c r="J1251">
        <v>1.28</v>
      </c>
      <c r="K1251" t="s">
        <v>15</v>
      </c>
      <c r="L1251">
        <v>79</v>
      </c>
      <c r="M1251">
        <v>153</v>
      </c>
      <c r="N1251">
        <v>59</v>
      </c>
      <c r="O1251">
        <v>43</v>
      </c>
      <c r="P1251" t="s">
        <v>46</v>
      </c>
    </row>
    <row r="1252" spans="1:16" x14ac:dyDescent="0.25">
      <c r="A1252">
        <v>1262</v>
      </c>
      <c r="B1252" s="2">
        <v>44162.429166666669</v>
      </c>
      <c r="C1252" s="2">
        <v>44169.345833333333</v>
      </c>
      <c r="D1252">
        <v>3</v>
      </c>
      <c r="E1252" t="s">
        <v>6</v>
      </c>
      <c r="F1252" t="s">
        <v>10</v>
      </c>
      <c r="G1252" t="s">
        <v>25</v>
      </c>
      <c r="H1252">
        <v>41</v>
      </c>
      <c r="I1252">
        <v>1.51</v>
      </c>
      <c r="J1252">
        <v>0.89</v>
      </c>
      <c r="K1252" t="s">
        <v>15</v>
      </c>
      <c r="L1252">
        <v>87</v>
      </c>
      <c r="M1252">
        <v>169</v>
      </c>
      <c r="N1252">
        <v>75</v>
      </c>
      <c r="O1252">
        <v>44</v>
      </c>
      <c r="P1252" t="s">
        <v>46</v>
      </c>
    </row>
    <row r="1253" spans="1:16" x14ac:dyDescent="0.25">
      <c r="A1253">
        <v>1263</v>
      </c>
      <c r="B1253" s="2">
        <v>44168.568055555559</v>
      </c>
      <c r="C1253" s="2">
        <v>44169.480555555558</v>
      </c>
      <c r="D1253">
        <v>6</v>
      </c>
      <c r="E1253" t="s">
        <v>4</v>
      </c>
      <c r="F1253" t="s">
        <v>10</v>
      </c>
      <c r="G1253" t="s">
        <v>21</v>
      </c>
      <c r="H1253">
        <v>69</v>
      </c>
      <c r="I1253">
        <v>3.23</v>
      </c>
      <c r="J1253">
        <v>1.22</v>
      </c>
      <c r="K1253" t="s">
        <v>15</v>
      </c>
      <c r="L1253">
        <v>87</v>
      </c>
      <c r="M1253">
        <v>170</v>
      </c>
      <c r="N1253">
        <v>88</v>
      </c>
      <c r="O1253">
        <v>66</v>
      </c>
      <c r="P1253" t="s">
        <v>44</v>
      </c>
    </row>
    <row r="1254" spans="1:16" x14ac:dyDescent="0.25">
      <c r="A1254">
        <v>1264</v>
      </c>
      <c r="B1254" s="2">
        <v>44167.536805555559</v>
      </c>
      <c r="C1254" s="2">
        <v>44169.57708333333</v>
      </c>
      <c r="D1254">
        <v>3</v>
      </c>
      <c r="E1254" t="s">
        <v>6</v>
      </c>
      <c r="F1254" t="s">
        <v>10</v>
      </c>
      <c r="G1254" t="s">
        <v>25</v>
      </c>
      <c r="H1254">
        <v>73</v>
      </c>
      <c r="I1254">
        <v>5.6</v>
      </c>
      <c r="J1254">
        <v>1.58</v>
      </c>
      <c r="K1254" t="s">
        <v>15</v>
      </c>
      <c r="L1254">
        <v>105</v>
      </c>
      <c r="M1254">
        <v>176</v>
      </c>
      <c r="N1254">
        <v>70</v>
      </c>
      <c r="O1254">
        <v>66</v>
      </c>
      <c r="P1254" t="s">
        <v>44</v>
      </c>
    </row>
    <row r="1255" spans="1:16" x14ac:dyDescent="0.25">
      <c r="A1255">
        <v>1265</v>
      </c>
      <c r="B1255" s="2">
        <v>44167.429166666669</v>
      </c>
      <c r="C1255" s="2">
        <v>44169.611111111109</v>
      </c>
      <c r="D1255">
        <v>1</v>
      </c>
      <c r="E1255" t="s">
        <v>4</v>
      </c>
      <c r="F1255" t="s">
        <v>10</v>
      </c>
      <c r="G1255" t="s">
        <v>27</v>
      </c>
      <c r="H1255">
        <v>62</v>
      </c>
      <c r="I1255">
        <v>1.07</v>
      </c>
      <c r="J1255">
        <v>0.71</v>
      </c>
      <c r="K1255" t="s">
        <v>15</v>
      </c>
      <c r="L1255">
        <v>68</v>
      </c>
      <c r="M1255">
        <v>160</v>
      </c>
      <c r="N1255">
        <v>80</v>
      </c>
      <c r="O1255">
        <v>52</v>
      </c>
      <c r="P1255" t="s">
        <v>44</v>
      </c>
    </row>
    <row r="1256" spans="1:16" x14ac:dyDescent="0.25">
      <c r="A1256">
        <v>1266</v>
      </c>
      <c r="B1256" s="2">
        <v>44169.299305555556</v>
      </c>
      <c r="C1256" s="2">
        <v>44169.618750000001</v>
      </c>
      <c r="D1256">
        <v>5</v>
      </c>
      <c r="E1256" t="s">
        <v>4</v>
      </c>
      <c r="F1256" t="s">
        <v>3</v>
      </c>
      <c r="G1256" t="s">
        <v>35</v>
      </c>
      <c r="H1256">
        <v>67</v>
      </c>
      <c r="I1256">
        <v>2.06</v>
      </c>
      <c r="J1256">
        <v>1.37</v>
      </c>
      <c r="K1256" t="s">
        <v>15</v>
      </c>
      <c r="L1256">
        <v>85</v>
      </c>
      <c r="M1256">
        <v>185</v>
      </c>
      <c r="N1256">
        <v>109</v>
      </c>
      <c r="O1256">
        <v>49</v>
      </c>
      <c r="P1256" t="s">
        <v>46</v>
      </c>
    </row>
    <row r="1257" spans="1:16" x14ac:dyDescent="0.25">
      <c r="A1257">
        <v>1267</v>
      </c>
      <c r="B1257" s="2">
        <v>44169.65</v>
      </c>
      <c r="C1257" s="2">
        <v>44170.336805555555</v>
      </c>
      <c r="D1257">
        <v>4</v>
      </c>
      <c r="E1257" t="s">
        <v>4</v>
      </c>
      <c r="F1257" t="s">
        <v>1</v>
      </c>
      <c r="G1257" t="s">
        <v>27</v>
      </c>
      <c r="H1257">
        <v>54</v>
      </c>
      <c r="I1257">
        <v>6.35</v>
      </c>
      <c r="J1257">
        <v>2.27</v>
      </c>
      <c r="K1257" t="s">
        <v>15</v>
      </c>
      <c r="L1257">
        <v>76</v>
      </c>
      <c r="M1257">
        <v>171</v>
      </c>
      <c r="N1257">
        <v>72</v>
      </c>
      <c r="O1257">
        <v>60</v>
      </c>
      <c r="P1257" t="s">
        <v>44</v>
      </c>
    </row>
    <row r="1258" spans="1:16" x14ac:dyDescent="0.25">
      <c r="A1258">
        <v>1268</v>
      </c>
      <c r="B1258" s="2">
        <v>44169.54583333333</v>
      </c>
      <c r="C1258" s="2">
        <v>44170.340277777781</v>
      </c>
      <c r="D1258">
        <v>5</v>
      </c>
      <c r="E1258" t="s">
        <v>4</v>
      </c>
      <c r="F1258" t="s">
        <v>10</v>
      </c>
      <c r="G1258" t="s">
        <v>34</v>
      </c>
      <c r="H1258">
        <v>77</v>
      </c>
      <c r="I1258">
        <v>2.87</v>
      </c>
      <c r="J1258">
        <v>0.81</v>
      </c>
      <c r="K1258" t="s">
        <v>15</v>
      </c>
      <c r="L1258">
        <v>69</v>
      </c>
      <c r="M1258">
        <v>167</v>
      </c>
      <c r="N1258">
        <v>74</v>
      </c>
      <c r="O1258">
        <v>15</v>
      </c>
      <c r="P1258" t="s">
        <v>47</v>
      </c>
    </row>
    <row r="1259" spans="1:16" x14ac:dyDescent="0.25">
      <c r="A1259">
        <v>1269</v>
      </c>
      <c r="B1259" s="2">
        <v>44171.666666666664</v>
      </c>
      <c r="C1259" s="2">
        <v>44172.342361111114</v>
      </c>
      <c r="D1259">
        <v>4</v>
      </c>
      <c r="E1259" t="s">
        <v>4</v>
      </c>
      <c r="F1259" t="s">
        <v>1</v>
      </c>
      <c r="G1259" t="s">
        <v>23</v>
      </c>
      <c r="H1259">
        <v>75</v>
      </c>
      <c r="I1259">
        <v>18.82</v>
      </c>
      <c r="J1259">
        <v>7.91</v>
      </c>
      <c r="K1259" t="s">
        <v>15</v>
      </c>
      <c r="L1259">
        <v>63</v>
      </c>
      <c r="M1259">
        <v>165</v>
      </c>
      <c r="N1259">
        <v>75</v>
      </c>
      <c r="O1259">
        <v>55</v>
      </c>
      <c r="P1259" t="s">
        <v>44</v>
      </c>
    </row>
    <row r="1260" spans="1:16" x14ac:dyDescent="0.25">
      <c r="A1260">
        <v>1270</v>
      </c>
      <c r="B1260" s="2">
        <v>44171.659722222219</v>
      </c>
      <c r="C1260" s="2">
        <v>44172.343055555553</v>
      </c>
      <c r="D1260">
        <v>5</v>
      </c>
      <c r="E1260" t="s">
        <v>4</v>
      </c>
      <c r="F1260" t="s">
        <v>10</v>
      </c>
      <c r="G1260" t="s">
        <v>31</v>
      </c>
      <c r="H1260">
        <v>49</v>
      </c>
      <c r="I1260">
        <v>2.2799999999999998</v>
      </c>
      <c r="J1260">
        <v>0.89</v>
      </c>
      <c r="K1260" t="s">
        <v>15</v>
      </c>
      <c r="L1260">
        <v>75</v>
      </c>
      <c r="M1260">
        <v>184</v>
      </c>
      <c r="N1260">
        <v>88</v>
      </c>
      <c r="O1260">
        <v>40</v>
      </c>
      <c r="P1260" t="s">
        <v>46</v>
      </c>
    </row>
    <row r="1261" spans="1:16" x14ac:dyDescent="0.25">
      <c r="A1261">
        <v>1271</v>
      </c>
      <c r="B1261" s="2">
        <v>44170.472222222219</v>
      </c>
      <c r="C1261" s="2">
        <v>44172.350694444445</v>
      </c>
      <c r="D1261">
        <v>1</v>
      </c>
      <c r="E1261" t="s">
        <v>6</v>
      </c>
      <c r="F1261" t="s">
        <v>11</v>
      </c>
      <c r="G1261" t="s">
        <v>33</v>
      </c>
      <c r="H1261">
        <v>85</v>
      </c>
      <c r="I1261">
        <v>55.81</v>
      </c>
      <c r="J1261">
        <v>20.329999999999998</v>
      </c>
      <c r="K1261" t="s">
        <v>15</v>
      </c>
      <c r="L1261">
        <v>181</v>
      </c>
      <c r="M1261">
        <v>166</v>
      </c>
      <c r="N1261">
        <v>83</v>
      </c>
      <c r="O1261">
        <v>60</v>
      </c>
      <c r="P1261" t="s">
        <v>44</v>
      </c>
    </row>
    <row r="1262" spans="1:16" x14ac:dyDescent="0.25">
      <c r="A1262">
        <v>1272</v>
      </c>
      <c r="B1262" s="2">
        <v>44171.541666666664</v>
      </c>
      <c r="C1262" s="2">
        <v>44172.513888888891</v>
      </c>
      <c r="D1262">
        <v>4</v>
      </c>
      <c r="E1262" t="s">
        <v>4</v>
      </c>
      <c r="F1262" t="s">
        <v>10</v>
      </c>
      <c r="G1262" t="s">
        <v>23</v>
      </c>
      <c r="H1262">
        <v>72</v>
      </c>
      <c r="I1262">
        <v>5.64</v>
      </c>
      <c r="J1262">
        <v>1.33</v>
      </c>
      <c r="K1262" t="s">
        <v>15</v>
      </c>
      <c r="L1262">
        <v>65</v>
      </c>
      <c r="M1262">
        <v>165</v>
      </c>
      <c r="N1262">
        <v>80</v>
      </c>
      <c r="O1262">
        <v>55</v>
      </c>
      <c r="P1262" t="s">
        <v>44</v>
      </c>
    </row>
    <row r="1263" spans="1:16" x14ac:dyDescent="0.25">
      <c r="A1263">
        <v>1273</v>
      </c>
      <c r="B1263" s="2">
        <v>44172.298611111109</v>
      </c>
      <c r="C1263" s="2">
        <v>44172.584722222222</v>
      </c>
      <c r="D1263">
        <v>1</v>
      </c>
      <c r="E1263" t="s">
        <v>4</v>
      </c>
      <c r="F1263" t="s">
        <v>3</v>
      </c>
      <c r="G1263" t="s">
        <v>33</v>
      </c>
      <c r="H1263">
        <v>61</v>
      </c>
      <c r="I1263">
        <v>1.72</v>
      </c>
      <c r="J1263">
        <v>0.89</v>
      </c>
      <c r="K1263" t="s">
        <v>15</v>
      </c>
      <c r="L1263">
        <v>91</v>
      </c>
      <c r="M1263">
        <v>164</v>
      </c>
      <c r="N1263">
        <v>76</v>
      </c>
      <c r="O1263">
        <v>60</v>
      </c>
      <c r="P1263" t="s">
        <v>44</v>
      </c>
    </row>
    <row r="1264" spans="1:16" x14ac:dyDescent="0.25">
      <c r="A1264">
        <v>1274</v>
      </c>
      <c r="B1264" s="2">
        <v>44170.583333333336</v>
      </c>
      <c r="C1264" s="2">
        <v>44172.644444444442</v>
      </c>
      <c r="D1264">
        <v>5</v>
      </c>
      <c r="E1264" t="s">
        <v>6</v>
      </c>
      <c r="F1264" t="s">
        <v>3</v>
      </c>
      <c r="G1264" t="s">
        <v>31</v>
      </c>
      <c r="H1264">
        <v>73</v>
      </c>
      <c r="I1264">
        <v>5.13</v>
      </c>
      <c r="J1264">
        <v>1.65</v>
      </c>
      <c r="K1264" t="s">
        <v>15</v>
      </c>
      <c r="L1264">
        <v>94</v>
      </c>
      <c r="M1264">
        <v>166</v>
      </c>
      <c r="N1264">
        <v>67</v>
      </c>
      <c r="O1264">
        <v>58</v>
      </c>
      <c r="P1264" t="s">
        <v>44</v>
      </c>
    </row>
    <row r="1265" spans="1:16" x14ac:dyDescent="0.25">
      <c r="A1265">
        <v>1275</v>
      </c>
      <c r="B1265" s="2">
        <v>44171.544444444444</v>
      </c>
      <c r="C1265" s="2">
        <v>44173.329861111109</v>
      </c>
      <c r="D1265">
        <v>1</v>
      </c>
      <c r="E1265" t="s">
        <v>4</v>
      </c>
      <c r="F1265" t="s">
        <v>10</v>
      </c>
      <c r="G1265" t="s">
        <v>35</v>
      </c>
      <c r="H1265">
        <v>70</v>
      </c>
      <c r="I1265">
        <v>3.08</v>
      </c>
      <c r="J1265">
        <v>1.73</v>
      </c>
      <c r="K1265" t="s">
        <v>15</v>
      </c>
      <c r="L1265">
        <v>80</v>
      </c>
      <c r="M1265">
        <v>161</v>
      </c>
      <c r="N1265">
        <v>64</v>
      </c>
      <c r="O1265">
        <v>40</v>
      </c>
      <c r="P1265" t="s">
        <v>46</v>
      </c>
    </row>
    <row r="1266" spans="1:16" x14ac:dyDescent="0.25">
      <c r="A1266">
        <v>1276</v>
      </c>
      <c r="B1266" s="2">
        <v>44172.6875</v>
      </c>
      <c r="C1266" s="2">
        <v>44173.333333333336</v>
      </c>
      <c r="D1266">
        <v>4</v>
      </c>
      <c r="E1266" t="s">
        <v>4</v>
      </c>
      <c r="F1266" t="s">
        <v>5</v>
      </c>
      <c r="G1266" t="s">
        <v>26</v>
      </c>
      <c r="H1266">
        <v>73</v>
      </c>
      <c r="I1266">
        <v>10.4</v>
      </c>
      <c r="J1266">
        <v>9.82</v>
      </c>
      <c r="K1266" t="s">
        <v>15</v>
      </c>
      <c r="L1266">
        <v>160</v>
      </c>
      <c r="M1266">
        <v>182</v>
      </c>
      <c r="N1266">
        <v>90</v>
      </c>
      <c r="O1266">
        <v>29</v>
      </c>
      <c r="P1266" t="s">
        <v>45</v>
      </c>
    </row>
    <row r="1267" spans="1:16" x14ac:dyDescent="0.25">
      <c r="A1267">
        <v>1277</v>
      </c>
      <c r="B1267" s="2">
        <v>44172.666666666664</v>
      </c>
      <c r="C1267" s="2">
        <v>44173.335416666669</v>
      </c>
      <c r="D1267">
        <v>5</v>
      </c>
      <c r="E1267" t="s">
        <v>4</v>
      </c>
      <c r="F1267" t="s">
        <v>3</v>
      </c>
      <c r="G1267" t="s">
        <v>29</v>
      </c>
      <c r="H1267">
        <v>77</v>
      </c>
      <c r="I1267">
        <v>13.2</v>
      </c>
      <c r="J1267">
        <v>2.68</v>
      </c>
      <c r="K1267" t="s">
        <v>15</v>
      </c>
      <c r="L1267">
        <v>129</v>
      </c>
      <c r="M1267">
        <v>168</v>
      </c>
      <c r="N1267">
        <v>89</v>
      </c>
      <c r="O1267">
        <v>55</v>
      </c>
      <c r="P1267" t="s">
        <v>44</v>
      </c>
    </row>
    <row r="1268" spans="1:16" x14ac:dyDescent="0.25">
      <c r="A1268">
        <v>1278</v>
      </c>
      <c r="B1268" s="2">
        <v>44173.296527777777</v>
      </c>
      <c r="C1268" s="2">
        <v>44173.53125</v>
      </c>
      <c r="D1268">
        <v>4</v>
      </c>
      <c r="E1268" t="s">
        <v>4</v>
      </c>
      <c r="F1268" t="s">
        <v>11</v>
      </c>
      <c r="G1268" t="s">
        <v>26</v>
      </c>
      <c r="H1268">
        <v>76</v>
      </c>
      <c r="I1268">
        <v>4.53</v>
      </c>
      <c r="J1268">
        <v>1.51</v>
      </c>
      <c r="K1268" t="s">
        <v>15</v>
      </c>
      <c r="L1268">
        <v>106</v>
      </c>
      <c r="M1268">
        <v>150</v>
      </c>
      <c r="N1268">
        <v>51</v>
      </c>
      <c r="O1268">
        <v>40</v>
      </c>
      <c r="P1268" t="s">
        <v>46</v>
      </c>
    </row>
    <row r="1269" spans="1:16" x14ac:dyDescent="0.25">
      <c r="A1269">
        <v>1279</v>
      </c>
      <c r="B1269" s="2">
        <v>44173.30972222222</v>
      </c>
      <c r="C1269" s="2">
        <v>44173.552083333336</v>
      </c>
      <c r="D1269">
        <v>1</v>
      </c>
      <c r="E1269" t="s">
        <v>4</v>
      </c>
      <c r="F1269" t="s">
        <v>3</v>
      </c>
      <c r="G1269" t="s">
        <v>35</v>
      </c>
      <c r="H1269">
        <v>63</v>
      </c>
      <c r="I1269">
        <v>2.19</v>
      </c>
      <c r="J1269">
        <v>1.03</v>
      </c>
      <c r="K1269" t="s">
        <v>15</v>
      </c>
      <c r="L1269">
        <v>85</v>
      </c>
      <c r="M1269">
        <v>174</v>
      </c>
      <c r="N1269">
        <v>74</v>
      </c>
      <c r="O1269">
        <v>53</v>
      </c>
      <c r="P1269" t="s">
        <v>44</v>
      </c>
    </row>
    <row r="1270" spans="1:16" x14ac:dyDescent="0.25">
      <c r="A1270">
        <v>1280</v>
      </c>
      <c r="B1270" s="2">
        <v>44173.295138888891</v>
      </c>
      <c r="C1270" s="2">
        <v>44173.574999999997</v>
      </c>
      <c r="D1270">
        <v>5</v>
      </c>
      <c r="E1270" t="s">
        <v>6</v>
      </c>
      <c r="F1270" t="s">
        <v>3</v>
      </c>
      <c r="G1270" t="s">
        <v>29</v>
      </c>
      <c r="H1270">
        <v>57</v>
      </c>
      <c r="I1270">
        <v>1.51</v>
      </c>
      <c r="J1270">
        <v>2.39</v>
      </c>
      <c r="K1270" t="s">
        <v>15</v>
      </c>
      <c r="L1270">
        <v>124</v>
      </c>
      <c r="M1270">
        <v>182</v>
      </c>
      <c r="N1270">
        <v>132</v>
      </c>
      <c r="O1270">
        <v>60</v>
      </c>
      <c r="P1270" t="s">
        <v>44</v>
      </c>
    </row>
    <row r="1271" spans="1:16" x14ac:dyDescent="0.25">
      <c r="A1271">
        <v>1281</v>
      </c>
      <c r="B1271" s="2">
        <v>44163.385416666664</v>
      </c>
      <c r="C1271" s="2">
        <v>44174.341666666667</v>
      </c>
      <c r="D1271">
        <v>5</v>
      </c>
      <c r="E1271" t="s">
        <v>6</v>
      </c>
      <c r="F1271" t="s">
        <v>10</v>
      </c>
      <c r="G1271" t="s">
        <v>28</v>
      </c>
      <c r="H1271">
        <v>80</v>
      </c>
      <c r="I1271">
        <v>9.89</v>
      </c>
      <c r="J1271">
        <v>5.36</v>
      </c>
      <c r="K1271" t="s">
        <v>15</v>
      </c>
      <c r="L1271">
        <v>73</v>
      </c>
      <c r="M1271">
        <v>175</v>
      </c>
      <c r="N1271">
        <v>93</v>
      </c>
      <c r="O1271">
        <v>60</v>
      </c>
      <c r="P1271" t="s">
        <v>44</v>
      </c>
    </row>
    <row r="1272" spans="1:16" x14ac:dyDescent="0.25">
      <c r="A1272">
        <v>1282</v>
      </c>
      <c r="B1272" s="2">
        <v>44173.666666666664</v>
      </c>
      <c r="C1272" s="2">
        <v>44174.355555555558</v>
      </c>
      <c r="D1272">
        <v>1</v>
      </c>
      <c r="E1272" t="s">
        <v>4</v>
      </c>
      <c r="F1272" t="s">
        <v>3</v>
      </c>
      <c r="G1272" t="s">
        <v>35</v>
      </c>
      <c r="H1272">
        <v>66</v>
      </c>
      <c r="I1272">
        <v>5.26</v>
      </c>
      <c r="J1272">
        <v>2.79</v>
      </c>
      <c r="K1272" t="s">
        <v>15</v>
      </c>
      <c r="L1272">
        <v>64</v>
      </c>
      <c r="M1272">
        <v>167</v>
      </c>
      <c r="N1272">
        <v>92</v>
      </c>
      <c r="O1272">
        <v>60</v>
      </c>
      <c r="P1272" t="s">
        <v>44</v>
      </c>
    </row>
    <row r="1273" spans="1:16" x14ac:dyDescent="0.25">
      <c r="A1273">
        <v>1283</v>
      </c>
      <c r="B1273" s="2">
        <v>44173.586111111108</v>
      </c>
      <c r="C1273" s="2">
        <v>44174.586805555555</v>
      </c>
      <c r="D1273">
        <v>5</v>
      </c>
      <c r="E1273" t="s">
        <v>4</v>
      </c>
      <c r="F1273" t="s">
        <v>3</v>
      </c>
      <c r="G1273" t="s">
        <v>28</v>
      </c>
      <c r="H1273">
        <v>65</v>
      </c>
      <c r="I1273">
        <v>2.23</v>
      </c>
      <c r="J1273">
        <v>1.05</v>
      </c>
      <c r="K1273" t="s">
        <v>15</v>
      </c>
      <c r="L1273">
        <v>71</v>
      </c>
      <c r="M1273">
        <v>160</v>
      </c>
      <c r="N1273">
        <v>55</v>
      </c>
      <c r="O1273">
        <v>63</v>
      </c>
      <c r="P1273" t="s">
        <v>44</v>
      </c>
    </row>
    <row r="1274" spans="1:16" x14ac:dyDescent="0.25">
      <c r="A1274">
        <v>1284</v>
      </c>
      <c r="B1274" s="2">
        <v>44174.654861111114</v>
      </c>
      <c r="C1274" s="2">
        <v>44175.340277777781</v>
      </c>
      <c r="D1274">
        <v>1</v>
      </c>
      <c r="E1274" t="s">
        <v>4</v>
      </c>
      <c r="F1274" t="s">
        <v>11</v>
      </c>
      <c r="G1274" t="s">
        <v>34</v>
      </c>
      <c r="H1274">
        <v>72</v>
      </c>
      <c r="I1274">
        <v>3.51</v>
      </c>
      <c r="J1274">
        <v>1.81</v>
      </c>
      <c r="K1274" t="s">
        <v>15</v>
      </c>
      <c r="L1274">
        <v>102</v>
      </c>
      <c r="M1274">
        <v>170</v>
      </c>
      <c r="N1274">
        <v>112</v>
      </c>
      <c r="O1274">
        <v>55</v>
      </c>
      <c r="P1274" t="s">
        <v>44</v>
      </c>
    </row>
    <row r="1275" spans="1:16" x14ac:dyDescent="0.25">
      <c r="A1275">
        <v>1285</v>
      </c>
      <c r="B1275" s="2">
        <v>44174.665972222225</v>
      </c>
      <c r="C1275" s="2">
        <v>44175.34375</v>
      </c>
      <c r="D1275">
        <v>5</v>
      </c>
      <c r="E1275" t="s">
        <v>4</v>
      </c>
      <c r="F1275" t="s">
        <v>3</v>
      </c>
      <c r="G1275" t="s">
        <v>23</v>
      </c>
      <c r="H1275">
        <v>56</v>
      </c>
      <c r="I1275">
        <v>1.51</v>
      </c>
      <c r="J1275">
        <v>0.56000000000000005</v>
      </c>
      <c r="K1275" t="s">
        <v>15</v>
      </c>
      <c r="L1275">
        <v>90</v>
      </c>
      <c r="M1275">
        <v>167</v>
      </c>
      <c r="N1275">
        <v>98</v>
      </c>
      <c r="O1275">
        <v>55</v>
      </c>
      <c r="P1275" t="s">
        <v>44</v>
      </c>
    </row>
    <row r="1276" spans="1:16" x14ac:dyDescent="0.25">
      <c r="A1276">
        <v>1286</v>
      </c>
      <c r="B1276" s="2">
        <v>44175.25</v>
      </c>
      <c r="C1276" s="2">
        <v>44175.364583333336</v>
      </c>
      <c r="D1276">
        <v>4</v>
      </c>
      <c r="E1276" t="s">
        <v>6</v>
      </c>
      <c r="F1276" t="s">
        <v>10</v>
      </c>
      <c r="G1276" t="s">
        <v>21</v>
      </c>
      <c r="H1276">
        <v>76</v>
      </c>
      <c r="I1276">
        <v>3.7</v>
      </c>
      <c r="J1276">
        <v>1.81</v>
      </c>
      <c r="K1276" t="s">
        <v>15</v>
      </c>
      <c r="L1276">
        <v>101</v>
      </c>
      <c r="M1276">
        <v>174</v>
      </c>
      <c r="N1276">
        <v>81</v>
      </c>
      <c r="O1276">
        <v>70</v>
      </c>
      <c r="P1276" t="s">
        <v>44</v>
      </c>
    </row>
    <row r="1277" spans="1:16" x14ac:dyDescent="0.25">
      <c r="A1277">
        <v>1287</v>
      </c>
      <c r="B1277" s="2">
        <v>44154.453472222223</v>
      </c>
      <c r="C1277" s="2">
        <v>44175.5625</v>
      </c>
      <c r="D1277">
        <v>4</v>
      </c>
      <c r="E1277" t="s">
        <v>6</v>
      </c>
      <c r="F1277" t="s">
        <v>3</v>
      </c>
      <c r="G1277" t="s">
        <v>21</v>
      </c>
      <c r="H1277">
        <v>56</v>
      </c>
      <c r="I1277">
        <v>1.51</v>
      </c>
      <c r="J1277">
        <v>1.31</v>
      </c>
      <c r="K1277" t="s">
        <v>15</v>
      </c>
      <c r="L1277">
        <v>86</v>
      </c>
      <c r="M1277">
        <v>177</v>
      </c>
      <c r="N1277">
        <v>92</v>
      </c>
      <c r="O1277">
        <v>60</v>
      </c>
      <c r="P1277" t="s">
        <v>44</v>
      </c>
    </row>
    <row r="1278" spans="1:16" x14ac:dyDescent="0.25">
      <c r="A1278">
        <v>1288</v>
      </c>
      <c r="B1278" s="2">
        <v>44175.291666666664</v>
      </c>
      <c r="C1278" s="2">
        <v>44175.618055555555</v>
      </c>
      <c r="D1278">
        <v>5</v>
      </c>
      <c r="E1278" t="s">
        <v>4</v>
      </c>
      <c r="F1278" t="s">
        <v>10</v>
      </c>
      <c r="G1278" t="s">
        <v>23</v>
      </c>
      <c r="H1278">
        <v>70</v>
      </c>
      <c r="I1278">
        <v>1.82</v>
      </c>
      <c r="J1278">
        <v>0.66</v>
      </c>
      <c r="K1278" t="s">
        <v>15</v>
      </c>
      <c r="L1278">
        <v>84</v>
      </c>
      <c r="M1278">
        <v>172</v>
      </c>
      <c r="N1278">
        <v>85</v>
      </c>
      <c r="O1278">
        <v>70</v>
      </c>
      <c r="P1278" t="s">
        <v>44</v>
      </c>
    </row>
    <row r="1279" spans="1:16" x14ac:dyDescent="0.25">
      <c r="A1279">
        <v>1289</v>
      </c>
      <c r="B1279" s="2">
        <v>44174.717361111114</v>
      </c>
      <c r="C1279" s="2">
        <v>44175.791666666664</v>
      </c>
      <c r="D1279">
        <v>1</v>
      </c>
      <c r="E1279" t="s">
        <v>2</v>
      </c>
      <c r="F1279" t="s">
        <v>3</v>
      </c>
      <c r="G1279" t="s">
        <v>23</v>
      </c>
      <c r="H1279">
        <v>53</v>
      </c>
      <c r="I1279">
        <v>11.54</v>
      </c>
      <c r="J1279">
        <v>2.2999999999999998</v>
      </c>
      <c r="K1279" t="s">
        <v>15</v>
      </c>
      <c r="L1279">
        <v>124</v>
      </c>
      <c r="M1279">
        <v>179</v>
      </c>
      <c r="N1279">
        <v>93</v>
      </c>
      <c r="O1279">
        <v>40</v>
      </c>
      <c r="P1279" t="s">
        <v>46</v>
      </c>
    </row>
    <row r="1280" spans="1:16" x14ac:dyDescent="0.25">
      <c r="A1280">
        <v>1290</v>
      </c>
      <c r="B1280" s="2">
        <v>44174.407638888886</v>
      </c>
      <c r="C1280" s="2">
        <v>44176.333333333336</v>
      </c>
      <c r="D1280">
        <v>5</v>
      </c>
      <c r="E1280" t="s">
        <v>6</v>
      </c>
      <c r="F1280" t="s">
        <v>10</v>
      </c>
      <c r="G1280" t="s">
        <v>24</v>
      </c>
      <c r="H1280">
        <v>65</v>
      </c>
      <c r="I1280">
        <v>2.4900000000000002</v>
      </c>
      <c r="J1280">
        <v>1.8</v>
      </c>
      <c r="K1280" t="s">
        <v>15</v>
      </c>
      <c r="L1280">
        <v>67</v>
      </c>
      <c r="M1280">
        <v>174</v>
      </c>
      <c r="N1280">
        <v>85</v>
      </c>
      <c r="O1280">
        <v>54</v>
      </c>
      <c r="P1280" t="s">
        <v>44</v>
      </c>
    </row>
    <row r="1281" spans="1:16" x14ac:dyDescent="0.25">
      <c r="A1281">
        <v>1291</v>
      </c>
      <c r="B1281" s="2">
        <v>44175.681944444441</v>
      </c>
      <c r="C1281" s="2">
        <v>44176.336805555555</v>
      </c>
      <c r="D1281">
        <v>3</v>
      </c>
      <c r="E1281" t="s">
        <v>6</v>
      </c>
      <c r="F1281" t="s">
        <v>10</v>
      </c>
      <c r="G1281" t="s">
        <v>30</v>
      </c>
      <c r="H1281">
        <v>70</v>
      </c>
      <c r="I1281">
        <v>1.82</v>
      </c>
      <c r="J1281">
        <v>1.22</v>
      </c>
      <c r="K1281" t="s">
        <v>15</v>
      </c>
      <c r="L1281">
        <v>83</v>
      </c>
      <c r="M1281">
        <v>174</v>
      </c>
      <c r="N1281">
        <v>72</v>
      </c>
      <c r="O1281">
        <v>24</v>
      </c>
      <c r="P1281" t="s">
        <v>45</v>
      </c>
    </row>
    <row r="1282" spans="1:16" x14ac:dyDescent="0.25">
      <c r="A1282">
        <v>1292</v>
      </c>
      <c r="B1282" s="2">
        <v>44175.666666666664</v>
      </c>
      <c r="C1282" s="2">
        <v>44176.338194444441</v>
      </c>
      <c r="D1282">
        <v>1</v>
      </c>
      <c r="E1282" t="s">
        <v>4</v>
      </c>
      <c r="F1282" t="s">
        <v>11</v>
      </c>
      <c r="G1282" t="s">
        <v>35</v>
      </c>
      <c r="H1282">
        <v>84</v>
      </c>
      <c r="I1282">
        <v>11.69</v>
      </c>
      <c r="J1282">
        <v>5.46</v>
      </c>
      <c r="K1282" t="s">
        <v>15</v>
      </c>
      <c r="L1282">
        <v>90</v>
      </c>
      <c r="M1282">
        <v>178</v>
      </c>
      <c r="N1282">
        <v>80</v>
      </c>
      <c r="O1282">
        <v>55</v>
      </c>
      <c r="P1282" t="s">
        <v>44</v>
      </c>
    </row>
    <row r="1283" spans="1:16" x14ac:dyDescent="0.25">
      <c r="A1283">
        <v>1293</v>
      </c>
      <c r="B1283" s="2">
        <v>44174.602083333331</v>
      </c>
      <c r="C1283" s="2">
        <v>44176.34375</v>
      </c>
      <c r="D1283">
        <v>4</v>
      </c>
      <c r="E1283" t="s">
        <v>6</v>
      </c>
      <c r="F1283" t="s">
        <v>10</v>
      </c>
      <c r="G1283" t="s">
        <v>21</v>
      </c>
      <c r="H1283">
        <v>66</v>
      </c>
      <c r="I1283">
        <v>1.93</v>
      </c>
      <c r="J1283">
        <v>0.74</v>
      </c>
      <c r="K1283" t="s">
        <v>15</v>
      </c>
      <c r="L1283">
        <v>76</v>
      </c>
      <c r="M1283">
        <v>160</v>
      </c>
      <c r="N1283">
        <v>67</v>
      </c>
      <c r="O1283">
        <v>34</v>
      </c>
      <c r="P1283" t="s">
        <v>46</v>
      </c>
    </row>
    <row r="1284" spans="1:16" x14ac:dyDescent="0.25">
      <c r="A1284">
        <v>1294</v>
      </c>
      <c r="B1284" s="2">
        <v>44176.293749999997</v>
      </c>
      <c r="C1284" s="2">
        <v>44176.527777777781</v>
      </c>
      <c r="D1284">
        <v>3</v>
      </c>
      <c r="E1284" t="s">
        <v>4</v>
      </c>
      <c r="F1284" t="s">
        <v>11</v>
      </c>
      <c r="G1284" t="s">
        <v>30</v>
      </c>
      <c r="H1284">
        <v>73</v>
      </c>
      <c r="I1284">
        <v>3.74</v>
      </c>
      <c r="J1284">
        <v>1.38</v>
      </c>
      <c r="K1284" t="s">
        <v>15</v>
      </c>
      <c r="L1284">
        <v>83</v>
      </c>
      <c r="M1284">
        <v>175</v>
      </c>
      <c r="N1284">
        <v>73</v>
      </c>
      <c r="O1284">
        <v>55</v>
      </c>
      <c r="P1284" t="s">
        <v>44</v>
      </c>
    </row>
    <row r="1285" spans="1:16" x14ac:dyDescent="0.25">
      <c r="A1285">
        <v>1295</v>
      </c>
      <c r="B1285" s="2">
        <v>44176.295138888891</v>
      </c>
      <c r="C1285" s="2">
        <v>44176.559027777781</v>
      </c>
      <c r="D1285">
        <v>4</v>
      </c>
      <c r="E1285" t="s">
        <v>4</v>
      </c>
      <c r="F1285" t="s">
        <v>3</v>
      </c>
      <c r="G1285" t="s">
        <v>21</v>
      </c>
      <c r="H1285">
        <v>68</v>
      </c>
      <c r="I1285">
        <v>2.71</v>
      </c>
      <c r="J1285">
        <v>0.63</v>
      </c>
      <c r="K1285" t="s">
        <v>15</v>
      </c>
      <c r="L1285">
        <v>86</v>
      </c>
      <c r="M1285">
        <v>168</v>
      </c>
      <c r="N1285">
        <v>80</v>
      </c>
      <c r="O1285">
        <v>41</v>
      </c>
      <c r="P1285" t="s">
        <v>46</v>
      </c>
    </row>
    <row r="1286" spans="1:16" x14ac:dyDescent="0.25">
      <c r="A1286">
        <v>1296</v>
      </c>
      <c r="B1286" s="2">
        <v>44176.332638888889</v>
      </c>
      <c r="C1286" s="2">
        <v>44176.583333333336</v>
      </c>
      <c r="D1286">
        <v>1</v>
      </c>
      <c r="E1286" t="s">
        <v>4</v>
      </c>
      <c r="F1286" t="s">
        <v>3</v>
      </c>
      <c r="G1286" t="s">
        <v>35</v>
      </c>
      <c r="H1286">
        <v>67</v>
      </c>
      <c r="I1286">
        <v>3.5</v>
      </c>
      <c r="J1286">
        <v>2.19</v>
      </c>
      <c r="K1286" t="s">
        <v>15</v>
      </c>
      <c r="L1286">
        <v>70</v>
      </c>
      <c r="M1286">
        <v>165</v>
      </c>
      <c r="N1286">
        <v>66</v>
      </c>
      <c r="O1286">
        <v>55</v>
      </c>
      <c r="P1286" t="s">
        <v>44</v>
      </c>
    </row>
    <row r="1287" spans="1:16" x14ac:dyDescent="0.25">
      <c r="A1287">
        <v>1297</v>
      </c>
      <c r="B1287" s="2">
        <v>44176.305555555555</v>
      </c>
      <c r="C1287" s="2">
        <v>44176.635416666664</v>
      </c>
      <c r="D1287">
        <v>5</v>
      </c>
      <c r="E1287" t="s">
        <v>4</v>
      </c>
      <c r="F1287" t="s">
        <v>10</v>
      </c>
      <c r="G1287" t="s">
        <v>24</v>
      </c>
      <c r="H1287">
        <v>64</v>
      </c>
      <c r="I1287">
        <v>3</v>
      </c>
      <c r="J1287">
        <v>1.76</v>
      </c>
      <c r="K1287" t="s">
        <v>15</v>
      </c>
      <c r="L1287">
        <v>96</v>
      </c>
      <c r="M1287">
        <v>184</v>
      </c>
      <c r="N1287">
        <v>73</v>
      </c>
      <c r="O1287">
        <v>29</v>
      </c>
      <c r="P1287" t="s">
        <v>45</v>
      </c>
    </row>
    <row r="1288" spans="1:16" x14ac:dyDescent="0.25">
      <c r="A1288">
        <v>1298</v>
      </c>
      <c r="B1288" s="2">
        <v>44176.663194444445</v>
      </c>
      <c r="C1288" s="2">
        <v>44177.336805555555</v>
      </c>
      <c r="D1288">
        <v>5</v>
      </c>
      <c r="E1288" t="s">
        <v>4</v>
      </c>
      <c r="F1288" t="s">
        <v>10</v>
      </c>
      <c r="G1288" t="s">
        <v>26</v>
      </c>
      <c r="H1288">
        <v>52</v>
      </c>
      <c r="I1288">
        <v>0.88</v>
      </c>
      <c r="J1288">
        <v>0.56000000000000005</v>
      </c>
      <c r="K1288" t="s">
        <v>15</v>
      </c>
      <c r="L1288">
        <v>86</v>
      </c>
      <c r="M1288">
        <v>174</v>
      </c>
      <c r="N1288">
        <v>89</v>
      </c>
      <c r="O1288">
        <v>45</v>
      </c>
      <c r="P1288" t="s">
        <v>46</v>
      </c>
    </row>
    <row r="1289" spans="1:16" x14ac:dyDescent="0.25">
      <c r="A1289">
        <v>1299</v>
      </c>
      <c r="B1289" s="2">
        <v>44174.5</v>
      </c>
      <c r="C1289" s="2">
        <v>44177.336805555555</v>
      </c>
      <c r="D1289">
        <v>4</v>
      </c>
      <c r="E1289" t="s">
        <v>4</v>
      </c>
      <c r="F1289" t="s">
        <v>3</v>
      </c>
      <c r="G1289" t="s">
        <v>35</v>
      </c>
      <c r="H1289">
        <v>71</v>
      </c>
      <c r="I1289">
        <v>21.8</v>
      </c>
      <c r="J1289">
        <v>6.34</v>
      </c>
      <c r="K1289" t="s">
        <v>15</v>
      </c>
      <c r="L1289">
        <v>100</v>
      </c>
      <c r="M1289">
        <v>165</v>
      </c>
      <c r="N1289">
        <v>49</v>
      </c>
      <c r="O1289">
        <v>25</v>
      </c>
      <c r="P1289" t="s">
        <v>45</v>
      </c>
    </row>
    <row r="1290" spans="1:16" x14ac:dyDescent="0.25">
      <c r="A1290">
        <v>1300</v>
      </c>
      <c r="B1290" s="2">
        <v>44177.32708333333</v>
      </c>
      <c r="C1290" s="2">
        <v>44177.506944444445</v>
      </c>
      <c r="D1290">
        <v>5</v>
      </c>
      <c r="E1290" t="s">
        <v>4</v>
      </c>
      <c r="F1290" t="s">
        <v>11</v>
      </c>
      <c r="G1290" t="s">
        <v>26</v>
      </c>
      <c r="H1290">
        <v>88</v>
      </c>
      <c r="I1290">
        <v>13.83</v>
      </c>
      <c r="J1290">
        <v>2.87</v>
      </c>
      <c r="K1290" t="s">
        <v>15</v>
      </c>
      <c r="L1290">
        <v>84</v>
      </c>
      <c r="M1290">
        <v>174</v>
      </c>
      <c r="N1290">
        <v>92</v>
      </c>
      <c r="O1290">
        <v>50</v>
      </c>
      <c r="P1290" t="s">
        <v>46</v>
      </c>
    </row>
    <row r="1291" spans="1:16" x14ac:dyDescent="0.25">
      <c r="A1291">
        <v>1302</v>
      </c>
      <c r="B1291" s="2">
        <v>44178.666666666664</v>
      </c>
      <c r="C1291" s="2">
        <v>44179.342361111114</v>
      </c>
      <c r="D1291">
        <v>3</v>
      </c>
      <c r="E1291" t="s">
        <v>4</v>
      </c>
      <c r="F1291" t="s">
        <v>3</v>
      </c>
      <c r="G1291" t="s">
        <v>30</v>
      </c>
      <c r="H1291">
        <v>74</v>
      </c>
      <c r="I1291">
        <v>3.25</v>
      </c>
      <c r="J1291">
        <v>1.24</v>
      </c>
      <c r="K1291" t="s">
        <v>15</v>
      </c>
      <c r="L1291">
        <v>78</v>
      </c>
      <c r="M1291">
        <v>183</v>
      </c>
      <c r="N1291">
        <v>121</v>
      </c>
      <c r="O1291">
        <v>72</v>
      </c>
      <c r="P1291" t="s">
        <v>44</v>
      </c>
    </row>
    <row r="1292" spans="1:16" x14ac:dyDescent="0.25">
      <c r="A1292">
        <v>1303</v>
      </c>
      <c r="B1292" s="2">
        <v>44178.588194444441</v>
      </c>
      <c r="C1292" s="2">
        <v>44179.344444444447</v>
      </c>
      <c r="D1292">
        <v>1</v>
      </c>
      <c r="E1292" t="s">
        <v>4</v>
      </c>
      <c r="F1292" t="s">
        <v>10</v>
      </c>
      <c r="G1292" t="s">
        <v>26</v>
      </c>
      <c r="H1292">
        <v>65</v>
      </c>
      <c r="I1292">
        <v>1.31</v>
      </c>
      <c r="J1292">
        <v>0.64</v>
      </c>
      <c r="K1292" t="s">
        <v>15</v>
      </c>
      <c r="L1292">
        <v>77</v>
      </c>
      <c r="M1292">
        <v>169</v>
      </c>
      <c r="N1292">
        <v>97</v>
      </c>
      <c r="O1292">
        <v>45</v>
      </c>
      <c r="P1292" t="s">
        <v>46</v>
      </c>
    </row>
    <row r="1293" spans="1:16" x14ac:dyDescent="0.25">
      <c r="A1293">
        <v>1304</v>
      </c>
      <c r="B1293" s="2">
        <v>44178.666666666664</v>
      </c>
      <c r="C1293" s="2">
        <v>44179.357638888891</v>
      </c>
      <c r="D1293">
        <v>4</v>
      </c>
      <c r="E1293" t="s">
        <v>4</v>
      </c>
      <c r="F1293" t="s">
        <v>1</v>
      </c>
      <c r="G1293" t="s">
        <v>23</v>
      </c>
      <c r="H1293">
        <v>79</v>
      </c>
      <c r="I1293">
        <v>15.6</v>
      </c>
      <c r="J1293">
        <v>1.64</v>
      </c>
      <c r="K1293" t="s">
        <v>15</v>
      </c>
      <c r="L1293">
        <v>84</v>
      </c>
      <c r="M1293">
        <v>159</v>
      </c>
      <c r="N1293">
        <v>80</v>
      </c>
      <c r="O1293">
        <v>60</v>
      </c>
      <c r="P1293" t="s">
        <v>44</v>
      </c>
    </row>
    <row r="1294" spans="1:16" x14ac:dyDescent="0.25">
      <c r="A1294">
        <v>1305</v>
      </c>
      <c r="B1294" s="2">
        <v>44174.462500000001</v>
      </c>
      <c r="C1294" s="2">
        <v>44179.430555555555</v>
      </c>
      <c r="D1294">
        <v>5</v>
      </c>
      <c r="E1294" t="s">
        <v>6</v>
      </c>
      <c r="F1294" t="s">
        <v>10</v>
      </c>
      <c r="G1294" t="s">
        <v>31</v>
      </c>
      <c r="H1294">
        <v>51</v>
      </c>
      <c r="I1294">
        <v>6.32</v>
      </c>
      <c r="J1294">
        <v>1.76</v>
      </c>
      <c r="K1294" t="s">
        <v>15</v>
      </c>
      <c r="L1294">
        <v>95</v>
      </c>
      <c r="M1294">
        <v>162</v>
      </c>
      <c r="N1294">
        <v>76</v>
      </c>
      <c r="O1294">
        <v>45</v>
      </c>
      <c r="P1294" t="s">
        <v>46</v>
      </c>
    </row>
    <row r="1295" spans="1:16" x14ac:dyDescent="0.25">
      <c r="A1295">
        <v>1306</v>
      </c>
      <c r="B1295" s="2">
        <v>44168.861805555556</v>
      </c>
      <c r="C1295" s="2">
        <v>44179.470138888886</v>
      </c>
      <c r="D1295">
        <v>3</v>
      </c>
      <c r="E1295" t="s">
        <v>4</v>
      </c>
      <c r="F1295" t="s">
        <v>10</v>
      </c>
      <c r="G1295" t="s">
        <v>30</v>
      </c>
      <c r="H1295">
        <v>65</v>
      </c>
      <c r="I1295">
        <v>3.36</v>
      </c>
      <c r="J1295">
        <v>0.92</v>
      </c>
      <c r="K1295" t="s">
        <v>15</v>
      </c>
      <c r="L1295">
        <v>90</v>
      </c>
      <c r="M1295">
        <v>152</v>
      </c>
      <c r="N1295">
        <v>65</v>
      </c>
      <c r="O1295">
        <v>55</v>
      </c>
      <c r="P1295" t="s">
        <v>44</v>
      </c>
    </row>
    <row r="1296" spans="1:16" x14ac:dyDescent="0.25">
      <c r="A1296">
        <v>1307</v>
      </c>
      <c r="B1296" s="2">
        <v>44168.417361111111</v>
      </c>
      <c r="C1296" s="2">
        <v>44179.558333333334</v>
      </c>
      <c r="D1296">
        <v>1</v>
      </c>
      <c r="E1296" t="s">
        <v>6</v>
      </c>
      <c r="F1296" t="s">
        <v>10</v>
      </c>
      <c r="G1296" t="s">
        <v>26</v>
      </c>
      <c r="H1296">
        <v>74</v>
      </c>
      <c r="I1296">
        <v>5.96</v>
      </c>
      <c r="J1296">
        <v>1.8</v>
      </c>
      <c r="K1296" t="s">
        <v>15</v>
      </c>
      <c r="L1296">
        <v>95</v>
      </c>
      <c r="M1296">
        <v>166</v>
      </c>
      <c r="N1296">
        <v>78</v>
      </c>
      <c r="O1296">
        <v>20</v>
      </c>
      <c r="P1296" t="s">
        <v>47</v>
      </c>
    </row>
    <row r="1297" spans="1:16" x14ac:dyDescent="0.25">
      <c r="A1297">
        <v>1308</v>
      </c>
      <c r="B1297" s="2">
        <v>44179.666666666664</v>
      </c>
      <c r="C1297" s="2">
        <v>44180.333333333336</v>
      </c>
      <c r="D1297">
        <v>5</v>
      </c>
      <c r="E1297" t="s">
        <v>4</v>
      </c>
      <c r="F1297" t="s">
        <v>3</v>
      </c>
      <c r="G1297" t="s">
        <v>28</v>
      </c>
      <c r="H1297">
        <v>45</v>
      </c>
      <c r="I1297">
        <v>1.51</v>
      </c>
      <c r="J1297">
        <v>0.67</v>
      </c>
      <c r="K1297" t="s">
        <v>15</v>
      </c>
      <c r="L1297">
        <v>109</v>
      </c>
      <c r="M1297">
        <v>156</v>
      </c>
      <c r="N1297">
        <v>71</v>
      </c>
      <c r="O1297">
        <v>40</v>
      </c>
      <c r="P1297" t="s">
        <v>46</v>
      </c>
    </row>
    <row r="1298" spans="1:16" x14ac:dyDescent="0.25">
      <c r="A1298">
        <v>1309</v>
      </c>
      <c r="B1298" s="2">
        <v>44179.661805555559</v>
      </c>
      <c r="C1298" s="2">
        <v>44180.339583333334</v>
      </c>
      <c r="D1298">
        <v>4</v>
      </c>
      <c r="E1298" t="s">
        <v>4</v>
      </c>
      <c r="F1298" t="s">
        <v>11</v>
      </c>
      <c r="G1298" t="s">
        <v>33</v>
      </c>
      <c r="H1298">
        <v>73</v>
      </c>
      <c r="I1298">
        <v>5.13</v>
      </c>
      <c r="J1298">
        <v>4.17</v>
      </c>
      <c r="K1298" t="s">
        <v>15</v>
      </c>
      <c r="L1298">
        <v>86</v>
      </c>
      <c r="M1298">
        <v>178</v>
      </c>
      <c r="N1298">
        <v>64</v>
      </c>
      <c r="O1298">
        <v>20</v>
      </c>
      <c r="P1298" t="s">
        <v>47</v>
      </c>
    </row>
    <row r="1299" spans="1:16" x14ac:dyDescent="0.25">
      <c r="A1299">
        <v>1310</v>
      </c>
      <c r="B1299" s="2">
        <v>44179.666666666664</v>
      </c>
      <c r="C1299" s="2">
        <v>44180.344444444447</v>
      </c>
      <c r="D1299">
        <v>1</v>
      </c>
      <c r="E1299" t="s">
        <v>6</v>
      </c>
      <c r="F1299" t="s">
        <v>11</v>
      </c>
      <c r="G1299" t="s">
        <v>35</v>
      </c>
      <c r="H1299">
        <v>78</v>
      </c>
      <c r="I1299">
        <v>5.14</v>
      </c>
      <c r="J1299">
        <v>2.78</v>
      </c>
      <c r="K1299" t="s">
        <v>15</v>
      </c>
      <c r="L1299">
        <v>75</v>
      </c>
      <c r="M1299">
        <v>182</v>
      </c>
      <c r="N1299">
        <v>56</v>
      </c>
      <c r="O1299">
        <v>55</v>
      </c>
      <c r="P1299" t="s">
        <v>44</v>
      </c>
    </row>
    <row r="1300" spans="1:16" x14ac:dyDescent="0.25">
      <c r="A1300">
        <v>1311</v>
      </c>
      <c r="B1300" s="2">
        <v>44180.29791666667</v>
      </c>
      <c r="C1300" s="2">
        <v>44180.552083333336</v>
      </c>
      <c r="D1300">
        <v>5</v>
      </c>
      <c r="E1300" t="s">
        <v>4</v>
      </c>
      <c r="F1300" t="s">
        <v>3</v>
      </c>
      <c r="G1300" t="s">
        <v>28</v>
      </c>
      <c r="H1300">
        <v>77</v>
      </c>
      <c r="I1300">
        <v>4.83</v>
      </c>
      <c r="J1300">
        <v>2.81</v>
      </c>
      <c r="K1300" t="s">
        <v>15</v>
      </c>
      <c r="L1300">
        <v>77</v>
      </c>
      <c r="M1300">
        <v>168</v>
      </c>
      <c r="N1300">
        <v>81</v>
      </c>
      <c r="O1300">
        <v>51</v>
      </c>
      <c r="P1300" t="s">
        <v>44</v>
      </c>
    </row>
    <row r="1301" spans="1:16" x14ac:dyDescent="0.25">
      <c r="A1301">
        <v>1312</v>
      </c>
      <c r="B1301" s="2">
        <v>44179.5625</v>
      </c>
      <c r="C1301" s="2">
        <v>44181.336805555555</v>
      </c>
      <c r="D1301">
        <v>3</v>
      </c>
      <c r="E1301" t="s">
        <v>6</v>
      </c>
      <c r="F1301" t="s">
        <v>10</v>
      </c>
      <c r="G1301" t="s">
        <v>30</v>
      </c>
      <c r="H1301">
        <v>65</v>
      </c>
      <c r="I1301">
        <v>2.2400000000000002</v>
      </c>
      <c r="J1301">
        <v>1.24</v>
      </c>
      <c r="K1301" t="s">
        <v>15</v>
      </c>
      <c r="L1301">
        <v>65</v>
      </c>
      <c r="M1301">
        <v>178</v>
      </c>
      <c r="N1301">
        <v>80</v>
      </c>
      <c r="O1301">
        <v>55</v>
      </c>
      <c r="P1301" t="s">
        <v>44</v>
      </c>
    </row>
    <row r="1302" spans="1:16" x14ac:dyDescent="0.25">
      <c r="A1302">
        <v>1313</v>
      </c>
      <c r="B1302" s="2">
        <v>44179.583333333336</v>
      </c>
      <c r="C1302" s="2">
        <v>44181.336805555555</v>
      </c>
      <c r="D1302">
        <v>4</v>
      </c>
      <c r="E1302" t="s">
        <v>4</v>
      </c>
      <c r="F1302" t="s">
        <v>3</v>
      </c>
      <c r="G1302" t="s">
        <v>35</v>
      </c>
      <c r="H1302">
        <v>78</v>
      </c>
      <c r="I1302">
        <v>11.89</v>
      </c>
      <c r="J1302">
        <v>9.7899999999999991</v>
      </c>
      <c r="K1302" t="s">
        <v>15</v>
      </c>
      <c r="L1302">
        <v>75</v>
      </c>
      <c r="M1302">
        <v>171</v>
      </c>
      <c r="N1302">
        <v>75</v>
      </c>
      <c r="O1302">
        <v>25</v>
      </c>
      <c r="P1302" t="s">
        <v>45</v>
      </c>
    </row>
    <row r="1303" spans="1:16" x14ac:dyDescent="0.25">
      <c r="A1303">
        <v>1314</v>
      </c>
      <c r="B1303" s="2">
        <v>44180.666666666664</v>
      </c>
      <c r="C1303" s="2">
        <v>44181.347222222219</v>
      </c>
      <c r="D1303">
        <v>5</v>
      </c>
      <c r="E1303" t="s">
        <v>4</v>
      </c>
      <c r="F1303" t="s">
        <v>1</v>
      </c>
      <c r="G1303" t="s">
        <v>28</v>
      </c>
      <c r="H1303">
        <v>66</v>
      </c>
      <c r="I1303">
        <v>18.55</v>
      </c>
      <c r="J1303">
        <v>7.3</v>
      </c>
      <c r="K1303" t="s">
        <v>15</v>
      </c>
      <c r="L1303">
        <v>65</v>
      </c>
      <c r="M1303">
        <v>187</v>
      </c>
      <c r="N1303">
        <v>112</v>
      </c>
      <c r="O1303">
        <v>55</v>
      </c>
      <c r="P1303" t="s">
        <v>44</v>
      </c>
    </row>
    <row r="1304" spans="1:16" x14ac:dyDescent="0.25">
      <c r="A1304">
        <v>1315</v>
      </c>
      <c r="B1304" s="2">
        <v>44181.291666666664</v>
      </c>
      <c r="C1304" s="2">
        <v>44181.503472222219</v>
      </c>
      <c r="D1304">
        <v>3</v>
      </c>
      <c r="E1304" t="s">
        <v>4</v>
      </c>
      <c r="F1304" t="s">
        <v>10</v>
      </c>
      <c r="G1304" t="s">
        <v>30</v>
      </c>
      <c r="H1304">
        <v>71</v>
      </c>
      <c r="I1304">
        <v>1.94</v>
      </c>
      <c r="J1304">
        <v>0.92</v>
      </c>
      <c r="K1304" t="s">
        <v>15</v>
      </c>
      <c r="L1304">
        <v>93</v>
      </c>
      <c r="M1304">
        <v>160</v>
      </c>
      <c r="N1304">
        <v>94</v>
      </c>
      <c r="O1304">
        <v>60</v>
      </c>
      <c r="P1304" t="s">
        <v>44</v>
      </c>
    </row>
    <row r="1305" spans="1:16" x14ac:dyDescent="0.25">
      <c r="A1305">
        <v>1316</v>
      </c>
      <c r="B1305" s="2">
        <v>44175.723611111112</v>
      </c>
      <c r="C1305" s="2">
        <v>44182.334722222222</v>
      </c>
      <c r="D1305">
        <v>5</v>
      </c>
      <c r="E1305" t="s">
        <v>6</v>
      </c>
      <c r="F1305" t="s">
        <v>10</v>
      </c>
      <c r="G1305" t="s">
        <v>31</v>
      </c>
      <c r="H1305">
        <v>65</v>
      </c>
      <c r="I1305">
        <v>3.36</v>
      </c>
      <c r="J1305">
        <v>2.71</v>
      </c>
      <c r="K1305" t="s">
        <v>15</v>
      </c>
      <c r="L1305">
        <v>62</v>
      </c>
      <c r="M1305">
        <v>170</v>
      </c>
      <c r="N1305">
        <v>60</v>
      </c>
      <c r="O1305">
        <v>56</v>
      </c>
      <c r="P1305" t="s">
        <v>44</v>
      </c>
    </row>
    <row r="1306" spans="1:16" x14ac:dyDescent="0.25">
      <c r="A1306">
        <v>1317</v>
      </c>
      <c r="B1306" s="2">
        <v>44181.666666666664</v>
      </c>
      <c r="C1306" s="2">
        <v>44182.341666666667</v>
      </c>
      <c r="D1306">
        <v>1</v>
      </c>
      <c r="E1306" t="s">
        <v>4</v>
      </c>
      <c r="F1306" t="s">
        <v>10</v>
      </c>
      <c r="G1306" t="s">
        <v>23</v>
      </c>
      <c r="H1306">
        <v>59</v>
      </c>
      <c r="I1306">
        <v>2.73</v>
      </c>
      <c r="J1306">
        <v>1.38</v>
      </c>
      <c r="K1306" t="s">
        <v>15</v>
      </c>
      <c r="L1306">
        <v>112</v>
      </c>
      <c r="M1306">
        <v>173</v>
      </c>
      <c r="N1306">
        <v>92</v>
      </c>
      <c r="O1306">
        <v>55</v>
      </c>
      <c r="P1306" t="s">
        <v>44</v>
      </c>
    </row>
    <row r="1307" spans="1:16" x14ac:dyDescent="0.25">
      <c r="A1307">
        <v>1318</v>
      </c>
      <c r="B1307" s="2">
        <v>44182.2</v>
      </c>
      <c r="C1307" s="2">
        <v>44182.513888888891</v>
      </c>
      <c r="D1307">
        <v>3</v>
      </c>
      <c r="E1307" t="s">
        <v>2</v>
      </c>
      <c r="F1307" t="s">
        <v>5</v>
      </c>
      <c r="G1307" t="s">
        <v>33</v>
      </c>
      <c r="H1307">
        <v>55</v>
      </c>
      <c r="I1307">
        <v>18.79</v>
      </c>
      <c r="J1307">
        <v>19.27</v>
      </c>
      <c r="K1307" t="s">
        <v>13</v>
      </c>
      <c r="L1307">
        <v>81</v>
      </c>
      <c r="M1307">
        <v>158</v>
      </c>
      <c r="N1307">
        <v>67</v>
      </c>
      <c r="O1307">
        <v>20</v>
      </c>
      <c r="P1307" t="s">
        <v>47</v>
      </c>
    </row>
    <row r="1308" spans="1:16" x14ac:dyDescent="0.25">
      <c r="A1308">
        <v>1319</v>
      </c>
      <c r="B1308" s="2">
        <v>44182.293749999997</v>
      </c>
      <c r="C1308" s="2">
        <v>44182.599305555559</v>
      </c>
      <c r="D1308">
        <v>1</v>
      </c>
      <c r="E1308" t="s">
        <v>4</v>
      </c>
      <c r="F1308" t="s">
        <v>3</v>
      </c>
      <c r="G1308" t="s">
        <v>23</v>
      </c>
      <c r="H1308">
        <v>79</v>
      </c>
      <c r="I1308">
        <v>5.48</v>
      </c>
      <c r="J1308">
        <v>0.96</v>
      </c>
      <c r="K1308" t="s">
        <v>15</v>
      </c>
      <c r="L1308">
        <v>81</v>
      </c>
      <c r="M1308">
        <v>176</v>
      </c>
      <c r="N1308">
        <v>97</v>
      </c>
      <c r="O1308">
        <v>60</v>
      </c>
      <c r="P1308" t="s">
        <v>44</v>
      </c>
    </row>
    <row r="1309" spans="1:16" x14ac:dyDescent="0.25">
      <c r="A1309">
        <v>1320</v>
      </c>
      <c r="B1309" s="2">
        <v>44182.583333333336</v>
      </c>
      <c r="C1309" s="2">
        <v>44183.338194444441</v>
      </c>
      <c r="D1309">
        <v>5</v>
      </c>
      <c r="E1309" t="s">
        <v>4</v>
      </c>
      <c r="F1309" t="s">
        <v>3</v>
      </c>
      <c r="G1309" t="s">
        <v>24</v>
      </c>
      <c r="H1309">
        <v>79</v>
      </c>
      <c r="I1309">
        <v>5.48</v>
      </c>
      <c r="J1309">
        <v>1.55</v>
      </c>
      <c r="K1309" t="s">
        <v>15</v>
      </c>
      <c r="L1309">
        <v>110</v>
      </c>
      <c r="M1309">
        <v>178</v>
      </c>
      <c r="N1309">
        <v>122</v>
      </c>
      <c r="O1309">
        <v>55</v>
      </c>
      <c r="P1309" t="s">
        <v>44</v>
      </c>
    </row>
    <row r="1310" spans="1:16" x14ac:dyDescent="0.25">
      <c r="A1310">
        <v>1321</v>
      </c>
      <c r="B1310" s="2">
        <v>44182.75</v>
      </c>
      <c r="C1310" s="2">
        <v>44183.340277777781</v>
      </c>
      <c r="D1310">
        <v>4</v>
      </c>
      <c r="E1310" t="s">
        <v>4</v>
      </c>
      <c r="F1310" t="s">
        <v>10</v>
      </c>
      <c r="G1310" t="s">
        <v>27</v>
      </c>
      <c r="H1310">
        <v>78</v>
      </c>
      <c r="I1310">
        <v>4.58</v>
      </c>
      <c r="J1310">
        <v>1.54</v>
      </c>
      <c r="K1310" t="s">
        <v>15</v>
      </c>
      <c r="L1310">
        <v>78</v>
      </c>
      <c r="M1310">
        <v>150</v>
      </c>
      <c r="N1310">
        <v>87</v>
      </c>
      <c r="O1310">
        <v>59</v>
      </c>
      <c r="P1310" t="s">
        <v>44</v>
      </c>
    </row>
    <row r="1311" spans="1:16" x14ac:dyDescent="0.25">
      <c r="A1311">
        <v>1322</v>
      </c>
      <c r="B1311" s="2">
        <v>44181.666666666664</v>
      </c>
      <c r="C1311" s="2">
        <v>44183.746527777781</v>
      </c>
      <c r="D1311">
        <v>1</v>
      </c>
      <c r="E1311" t="s">
        <v>2</v>
      </c>
      <c r="F1311" t="s">
        <v>10</v>
      </c>
      <c r="G1311" t="s">
        <v>24</v>
      </c>
      <c r="H1311">
        <v>70</v>
      </c>
      <c r="I1311">
        <v>10.31</v>
      </c>
      <c r="J1311">
        <v>2.58</v>
      </c>
      <c r="K1311" t="s">
        <v>15</v>
      </c>
      <c r="L1311">
        <v>64</v>
      </c>
      <c r="M1311">
        <v>168</v>
      </c>
      <c r="N1311">
        <v>69</v>
      </c>
      <c r="O1311">
        <v>45</v>
      </c>
      <c r="P1311" t="s">
        <v>46</v>
      </c>
    </row>
    <row r="1312" spans="1:16" x14ac:dyDescent="0.25">
      <c r="A1312">
        <v>1323</v>
      </c>
      <c r="B1312" s="2">
        <v>44183.666666666664</v>
      </c>
      <c r="C1312" s="2">
        <v>44184.331250000003</v>
      </c>
      <c r="D1312">
        <v>4</v>
      </c>
      <c r="E1312" t="s">
        <v>4</v>
      </c>
      <c r="F1312" t="s">
        <v>3</v>
      </c>
      <c r="G1312" t="s">
        <v>31</v>
      </c>
      <c r="H1312">
        <v>65</v>
      </c>
      <c r="I1312">
        <v>2.23</v>
      </c>
      <c r="J1312">
        <v>0.64</v>
      </c>
      <c r="K1312" t="s">
        <v>15</v>
      </c>
      <c r="L1312">
        <v>105</v>
      </c>
      <c r="M1312">
        <v>168</v>
      </c>
      <c r="N1312">
        <v>73</v>
      </c>
      <c r="O1312">
        <v>45</v>
      </c>
      <c r="P1312" t="s">
        <v>46</v>
      </c>
    </row>
    <row r="1313" spans="1:16" x14ac:dyDescent="0.25">
      <c r="A1313">
        <v>1324</v>
      </c>
      <c r="B1313" s="2">
        <v>44183.666666666664</v>
      </c>
      <c r="C1313" s="2">
        <v>44184.336805555555</v>
      </c>
      <c r="D1313">
        <v>5</v>
      </c>
      <c r="E1313" t="s">
        <v>4</v>
      </c>
      <c r="F1313" t="s">
        <v>10</v>
      </c>
      <c r="G1313" t="s">
        <v>33</v>
      </c>
      <c r="H1313">
        <v>74</v>
      </c>
      <c r="I1313">
        <v>5.96</v>
      </c>
      <c r="J1313">
        <v>1.78</v>
      </c>
      <c r="K1313" t="s">
        <v>15</v>
      </c>
      <c r="L1313">
        <v>109</v>
      </c>
      <c r="M1313">
        <v>162</v>
      </c>
      <c r="N1313">
        <v>51</v>
      </c>
      <c r="O1313">
        <v>60</v>
      </c>
      <c r="P1313" t="s">
        <v>44</v>
      </c>
    </row>
    <row r="1314" spans="1:16" x14ac:dyDescent="0.25">
      <c r="A1314">
        <v>1325</v>
      </c>
      <c r="B1314" s="2">
        <v>44181.666666666664</v>
      </c>
      <c r="C1314" s="2">
        <v>44184.520833333336</v>
      </c>
      <c r="D1314">
        <v>4</v>
      </c>
      <c r="E1314" t="s">
        <v>4</v>
      </c>
      <c r="F1314" t="s">
        <v>11</v>
      </c>
      <c r="G1314" t="s">
        <v>33</v>
      </c>
      <c r="H1314">
        <v>83</v>
      </c>
      <c r="I1314">
        <v>7.03</v>
      </c>
      <c r="J1314">
        <v>4.4400000000000004</v>
      </c>
      <c r="K1314" t="s">
        <v>15</v>
      </c>
      <c r="L1314">
        <v>83</v>
      </c>
      <c r="M1314">
        <v>171</v>
      </c>
      <c r="N1314">
        <v>75</v>
      </c>
      <c r="O1314">
        <v>55</v>
      </c>
      <c r="P1314" t="s">
        <v>44</v>
      </c>
    </row>
    <row r="1315" spans="1:16" x14ac:dyDescent="0.25">
      <c r="A1315">
        <v>1326</v>
      </c>
      <c r="B1315" s="2">
        <v>44185.51458333333</v>
      </c>
      <c r="C1315" s="2">
        <v>44186.333333333336</v>
      </c>
      <c r="D1315">
        <v>3</v>
      </c>
      <c r="E1315" t="s">
        <v>4</v>
      </c>
      <c r="F1315" t="s">
        <v>10</v>
      </c>
      <c r="G1315" t="s">
        <v>24</v>
      </c>
      <c r="H1315">
        <v>69</v>
      </c>
      <c r="I1315">
        <v>2.56</v>
      </c>
      <c r="J1315">
        <v>1.48</v>
      </c>
      <c r="K1315" t="s">
        <v>15</v>
      </c>
      <c r="L1315">
        <v>74</v>
      </c>
      <c r="M1315">
        <v>166</v>
      </c>
      <c r="N1315">
        <v>88</v>
      </c>
      <c r="O1315">
        <v>65</v>
      </c>
      <c r="P1315" t="s">
        <v>44</v>
      </c>
    </row>
    <row r="1316" spans="1:16" x14ac:dyDescent="0.25">
      <c r="A1316">
        <v>1327</v>
      </c>
      <c r="B1316" s="2">
        <v>44185.541666666664</v>
      </c>
      <c r="C1316" s="2">
        <v>44186.336805555555</v>
      </c>
      <c r="D1316">
        <v>1</v>
      </c>
      <c r="E1316" t="s">
        <v>4</v>
      </c>
      <c r="F1316" t="s">
        <v>10</v>
      </c>
      <c r="G1316" t="s">
        <v>33</v>
      </c>
      <c r="H1316">
        <v>75</v>
      </c>
      <c r="I1316">
        <v>3.78</v>
      </c>
      <c r="J1316">
        <v>1.42</v>
      </c>
      <c r="K1316" t="s">
        <v>15</v>
      </c>
      <c r="L1316">
        <v>70</v>
      </c>
      <c r="M1316">
        <v>167</v>
      </c>
      <c r="N1316">
        <v>75</v>
      </c>
      <c r="O1316">
        <v>55</v>
      </c>
      <c r="P1316" t="s">
        <v>44</v>
      </c>
    </row>
    <row r="1317" spans="1:16" x14ac:dyDescent="0.25">
      <c r="A1317">
        <v>1328</v>
      </c>
      <c r="B1317" s="2">
        <v>44185.670138888891</v>
      </c>
      <c r="C1317" s="2">
        <v>44186.338888888888</v>
      </c>
      <c r="D1317">
        <v>4</v>
      </c>
      <c r="E1317" t="s">
        <v>4</v>
      </c>
      <c r="F1317" t="s">
        <v>1</v>
      </c>
      <c r="G1317" t="s">
        <v>23</v>
      </c>
      <c r="H1317">
        <v>59</v>
      </c>
      <c r="I1317">
        <v>4.6500000000000004</v>
      </c>
      <c r="J1317">
        <v>3.31</v>
      </c>
      <c r="K1317" t="s">
        <v>15</v>
      </c>
      <c r="L1317">
        <v>74</v>
      </c>
      <c r="M1317">
        <v>157</v>
      </c>
      <c r="N1317">
        <v>87</v>
      </c>
      <c r="O1317">
        <v>40</v>
      </c>
      <c r="P1317" t="s">
        <v>46</v>
      </c>
    </row>
    <row r="1318" spans="1:16" x14ac:dyDescent="0.25">
      <c r="A1318">
        <v>1329</v>
      </c>
      <c r="B1318" s="2">
        <v>44186.291666666664</v>
      </c>
      <c r="C1318" s="2">
        <v>44186.488194444442</v>
      </c>
      <c r="D1318">
        <v>1</v>
      </c>
      <c r="E1318" t="s">
        <v>4</v>
      </c>
      <c r="F1318" t="s">
        <v>11</v>
      </c>
      <c r="G1318" t="s">
        <v>33</v>
      </c>
      <c r="H1318">
        <v>80</v>
      </c>
      <c r="I1318">
        <v>10.66</v>
      </c>
      <c r="J1318">
        <v>5.85</v>
      </c>
      <c r="K1318" t="s">
        <v>15</v>
      </c>
      <c r="L1318">
        <v>79</v>
      </c>
      <c r="M1318">
        <v>179</v>
      </c>
      <c r="N1318">
        <v>85</v>
      </c>
      <c r="O1318">
        <v>20</v>
      </c>
      <c r="P1318" t="s">
        <v>47</v>
      </c>
    </row>
    <row r="1319" spans="1:16" x14ac:dyDescent="0.25">
      <c r="A1319">
        <v>1330</v>
      </c>
      <c r="B1319" s="2">
        <v>44181.541666666664</v>
      </c>
      <c r="C1319" s="2">
        <v>44186.614583333336</v>
      </c>
      <c r="D1319">
        <v>4</v>
      </c>
      <c r="E1319" t="s">
        <v>6</v>
      </c>
      <c r="F1319" t="s">
        <v>11</v>
      </c>
      <c r="G1319" t="s">
        <v>31</v>
      </c>
      <c r="H1319">
        <v>69</v>
      </c>
      <c r="I1319">
        <v>3.98</v>
      </c>
      <c r="J1319">
        <v>3.39</v>
      </c>
      <c r="K1319" t="s">
        <v>15</v>
      </c>
      <c r="L1319">
        <v>85</v>
      </c>
      <c r="M1319">
        <v>169</v>
      </c>
      <c r="N1319">
        <v>124</v>
      </c>
      <c r="O1319">
        <v>58</v>
      </c>
      <c r="P1319" t="s">
        <v>44</v>
      </c>
    </row>
    <row r="1320" spans="1:16" x14ac:dyDescent="0.25">
      <c r="A1320">
        <v>1331</v>
      </c>
      <c r="B1320" s="2">
        <v>44176.75</v>
      </c>
      <c r="C1320" s="2">
        <v>44187.322916666664</v>
      </c>
      <c r="D1320">
        <v>1</v>
      </c>
      <c r="E1320" t="s">
        <v>4</v>
      </c>
      <c r="F1320" t="s">
        <v>3</v>
      </c>
      <c r="G1320" t="s">
        <v>35</v>
      </c>
      <c r="H1320">
        <v>76</v>
      </c>
      <c r="I1320">
        <v>55.3</v>
      </c>
      <c r="J1320">
        <v>16.48</v>
      </c>
      <c r="K1320" t="s">
        <v>15</v>
      </c>
      <c r="L1320">
        <v>75</v>
      </c>
      <c r="M1320">
        <v>168</v>
      </c>
      <c r="N1320">
        <v>62</v>
      </c>
      <c r="O1320">
        <v>55</v>
      </c>
      <c r="P1320" t="s">
        <v>44</v>
      </c>
    </row>
    <row r="1321" spans="1:16" x14ac:dyDescent="0.25">
      <c r="A1321">
        <v>1332</v>
      </c>
      <c r="B1321" s="2">
        <v>44186.666666666664</v>
      </c>
      <c r="C1321" s="2">
        <v>44187.340277777781</v>
      </c>
      <c r="D1321">
        <v>4</v>
      </c>
      <c r="E1321" t="s">
        <v>4</v>
      </c>
      <c r="F1321" t="s">
        <v>10</v>
      </c>
      <c r="G1321" t="s">
        <v>26</v>
      </c>
      <c r="H1321">
        <v>53</v>
      </c>
      <c r="I1321">
        <v>1.85</v>
      </c>
      <c r="J1321">
        <v>1.62</v>
      </c>
      <c r="K1321" t="s">
        <v>15</v>
      </c>
      <c r="L1321">
        <v>138</v>
      </c>
      <c r="M1321">
        <v>161</v>
      </c>
      <c r="N1321">
        <v>73</v>
      </c>
      <c r="O1321">
        <v>49</v>
      </c>
      <c r="P1321" t="s">
        <v>46</v>
      </c>
    </row>
    <row r="1322" spans="1:16" x14ac:dyDescent="0.25">
      <c r="A1322">
        <v>1333</v>
      </c>
      <c r="B1322" s="2">
        <v>44187.291666666664</v>
      </c>
      <c r="C1322" s="2">
        <v>44187.533333333333</v>
      </c>
      <c r="D1322">
        <v>1</v>
      </c>
      <c r="E1322" t="s">
        <v>4</v>
      </c>
      <c r="F1322" t="s">
        <v>3</v>
      </c>
      <c r="G1322" t="s">
        <v>26</v>
      </c>
      <c r="H1322">
        <v>71</v>
      </c>
      <c r="I1322">
        <v>7.19</v>
      </c>
      <c r="J1322">
        <v>1.1399999999999999</v>
      </c>
      <c r="K1322" t="s">
        <v>15</v>
      </c>
      <c r="L1322">
        <v>76</v>
      </c>
      <c r="M1322">
        <v>152</v>
      </c>
      <c r="N1322">
        <v>50</v>
      </c>
      <c r="O1322">
        <v>29</v>
      </c>
      <c r="P1322" t="s">
        <v>45</v>
      </c>
    </row>
    <row r="1323" spans="1:16" x14ac:dyDescent="0.25">
      <c r="A1323">
        <v>1334</v>
      </c>
      <c r="B1323" s="2">
        <v>44181.51458333333</v>
      </c>
      <c r="C1323" s="2">
        <v>44188.34375</v>
      </c>
      <c r="D1323">
        <v>4</v>
      </c>
      <c r="E1323" t="s">
        <v>6</v>
      </c>
      <c r="F1323" t="s">
        <v>10</v>
      </c>
      <c r="G1323" t="s">
        <v>21</v>
      </c>
      <c r="H1323">
        <v>61</v>
      </c>
      <c r="I1323">
        <v>2.79</v>
      </c>
      <c r="J1323">
        <v>2.39</v>
      </c>
      <c r="K1323" t="s">
        <v>15</v>
      </c>
      <c r="L1323">
        <v>66</v>
      </c>
      <c r="M1323">
        <v>176</v>
      </c>
      <c r="N1323">
        <v>93</v>
      </c>
      <c r="O1323">
        <v>25</v>
      </c>
      <c r="P1323" t="s">
        <v>45</v>
      </c>
    </row>
    <row r="1324" spans="1:16" x14ac:dyDescent="0.25">
      <c r="A1324">
        <v>1335</v>
      </c>
      <c r="B1324" s="2">
        <v>44186.43472222222</v>
      </c>
      <c r="C1324" s="2">
        <v>44188.34375</v>
      </c>
      <c r="D1324">
        <v>1</v>
      </c>
      <c r="E1324" t="s">
        <v>6</v>
      </c>
      <c r="F1324" t="s">
        <v>3</v>
      </c>
      <c r="G1324" t="s">
        <v>35</v>
      </c>
      <c r="H1324">
        <v>65</v>
      </c>
      <c r="I1324">
        <v>2.93</v>
      </c>
      <c r="J1324">
        <v>1.31</v>
      </c>
      <c r="K1324" t="s">
        <v>15</v>
      </c>
      <c r="L1324">
        <v>92</v>
      </c>
      <c r="M1324">
        <v>177</v>
      </c>
      <c r="N1324">
        <v>91</v>
      </c>
      <c r="O1324">
        <v>25</v>
      </c>
      <c r="P1324" t="s">
        <v>45</v>
      </c>
    </row>
    <row r="1325" spans="1:16" x14ac:dyDescent="0.25">
      <c r="A1325">
        <v>1336</v>
      </c>
      <c r="B1325" s="2">
        <v>44188.291666666664</v>
      </c>
      <c r="C1325" s="2">
        <v>44188.532638888886</v>
      </c>
      <c r="D1325">
        <v>1</v>
      </c>
      <c r="E1325" t="s">
        <v>4</v>
      </c>
      <c r="F1325" t="s">
        <v>3</v>
      </c>
      <c r="G1325" t="s">
        <v>35</v>
      </c>
      <c r="H1325">
        <v>84</v>
      </c>
      <c r="I1325">
        <v>10.11</v>
      </c>
      <c r="J1325">
        <v>3.77</v>
      </c>
      <c r="K1325" t="s">
        <v>15</v>
      </c>
      <c r="L1325">
        <v>74</v>
      </c>
      <c r="M1325">
        <v>161</v>
      </c>
      <c r="N1325">
        <v>68</v>
      </c>
      <c r="O1325">
        <v>25</v>
      </c>
      <c r="P1325" t="s">
        <v>45</v>
      </c>
    </row>
    <row r="1326" spans="1:16" x14ac:dyDescent="0.25">
      <c r="A1326">
        <v>1337</v>
      </c>
      <c r="B1326" s="2">
        <v>44188.291666666664</v>
      </c>
      <c r="C1326" s="2">
        <v>44188.618055555555</v>
      </c>
      <c r="D1326">
        <v>5</v>
      </c>
      <c r="E1326" t="s">
        <v>4</v>
      </c>
      <c r="F1326" t="s">
        <v>11</v>
      </c>
      <c r="G1326" t="s">
        <v>24</v>
      </c>
      <c r="H1326">
        <v>61</v>
      </c>
      <c r="I1326">
        <v>2.78</v>
      </c>
      <c r="J1326">
        <v>1.43</v>
      </c>
      <c r="K1326" t="s">
        <v>15</v>
      </c>
      <c r="L1326">
        <v>67</v>
      </c>
      <c r="M1326">
        <v>184</v>
      </c>
      <c r="N1326">
        <v>92</v>
      </c>
      <c r="O1326">
        <v>55</v>
      </c>
      <c r="P1326" t="s">
        <v>44</v>
      </c>
    </row>
    <row r="1327" spans="1:16" x14ac:dyDescent="0.25">
      <c r="A1327">
        <v>1338</v>
      </c>
      <c r="B1327" s="2">
        <v>44188.452777777777</v>
      </c>
      <c r="C1327" s="2">
        <v>44189.345138888886</v>
      </c>
      <c r="D1327">
        <v>4</v>
      </c>
      <c r="E1327" t="s">
        <v>6</v>
      </c>
      <c r="F1327" t="s">
        <v>11</v>
      </c>
      <c r="G1327" t="s">
        <v>21</v>
      </c>
      <c r="H1327">
        <v>70</v>
      </c>
      <c r="I1327">
        <v>16.5</v>
      </c>
      <c r="J1327">
        <v>12.3</v>
      </c>
      <c r="K1327" t="s">
        <v>15</v>
      </c>
      <c r="L1327">
        <v>62</v>
      </c>
      <c r="M1327">
        <v>177</v>
      </c>
      <c r="N1327">
        <v>99</v>
      </c>
      <c r="O1327">
        <v>75</v>
      </c>
      <c r="P1327" t="s">
        <v>44</v>
      </c>
    </row>
    <row r="1328" spans="1:16" x14ac:dyDescent="0.25">
      <c r="A1328">
        <v>1339</v>
      </c>
      <c r="B1328" s="2">
        <v>44187.728472222225</v>
      </c>
      <c r="C1328" s="2">
        <v>44189.37222222222</v>
      </c>
      <c r="D1328">
        <v>3</v>
      </c>
      <c r="E1328" t="s">
        <v>4</v>
      </c>
      <c r="F1328" t="s">
        <v>10</v>
      </c>
      <c r="G1328" t="s">
        <v>23</v>
      </c>
      <c r="H1328">
        <v>61</v>
      </c>
      <c r="I1328">
        <v>1.01</v>
      </c>
      <c r="J1328">
        <v>0.56999999999999995</v>
      </c>
      <c r="K1328" t="s">
        <v>15</v>
      </c>
      <c r="L1328">
        <v>78</v>
      </c>
      <c r="M1328">
        <v>169</v>
      </c>
      <c r="N1328">
        <v>97</v>
      </c>
      <c r="O1328">
        <v>60</v>
      </c>
      <c r="P1328" t="s">
        <v>44</v>
      </c>
    </row>
    <row r="1329" spans="1:16" x14ac:dyDescent="0.25">
      <c r="A1329">
        <v>1340</v>
      </c>
      <c r="B1329" s="2">
        <v>44191.015277777777</v>
      </c>
      <c r="C1329" s="2">
        <v>44191.4375</v>
      </c>
      <c r="D1329">
        <v>1</v>
      </c>
      <c r="E1329" t="s">
        <v>2</v>
      </c>
      <c r="F1329" t="s">
        <v>5</v>
      </c>
      <c r="G1329" t="s">
        <v>23</v>
      </c>
      <c r="H1329">
        <v>57</v>
      </c>
      <c r="I1329">
        <v>38.89</v>
      </c>
      <c r="J1329">
        <v>20.91</v>
      </c>
      <c r="K1329" t="s">
        <v>13</v>
      </c>
      <c r="L1329">
        <v>76</v>
      </c>
      <c r="M1329">
        <v>178</v>
      </c>
      <c r="N1329">
        <v>90</v>
      </c>
      <c r="O1329">
        <v>60</v>
      </c>
      <c r="P1329" t="s">
        <v>44</v>
      </c>
    </row>
    <row r="1330" spans="1:16" x14ac:dyDescent="0.25">
      <c r="A1330">
        <v>1341</v>
      </c>
      <c r="B1330" s="2">
        <v>44191.794444444444</v>
      </c>
      <c r="C1330" s="2">
        <v>44191.8125</v>
      </c>
      <c r="D1330">
        <v>1</v>
      </c>
      <c r="E1330" t="s">
        <v>2</v>
      </c>
      <c r="F1330" t="s">
        <v>1</v>
      </c>
      <c r="G1330" t="s">
        <v>23</v>
      </c>
      <c r="H1330">
        <v>60</v>
      </c>
      <c r="I1330">
        <v>9.61</v>
      </c>
      <c r="J1330">
        <v>3.27</v>
      </c>
      <c r="K1330" t="s">
        <v>15</v>
      </c>
      <c r="L1330">
        <v>72</v>
      </c>
      <c r="M1330">
        <v>162</v>
      </c>
      <c r="N1330">
        <v>79</v>
      </c>
      <c r="O1330">
        <v>60</v>
      </c>
      <c r="P1330" t="s">
        <v>44</v>
      </c>
    </row>
    <row r="1331" spans="1:16" x14ac:dyDescent="0.25">
      <c r="A1331">
        <v>1342</v>
      </c>
      <c r="B1331" s="2">
        <v>44193.571527777778</v>
      </c>
      <c r="C1331" s="2">
        <v>44193.6875</v>
      </c>
      <c r="D1331">
        <v>2</v>
      </c>
      <c r="E1331" t="s">
        <v>2</v>
      </c>
      <c r="F1331" t="s">
        <v>1</v>
      </c>
      <c r="G1331" t="s">
        <v>30</v>
      </c>
      <c r="H1331">
        <v>78</v>
      </c>
      <c r="I1331">
        <v>62.7</v>
      </c>
      <c r="J1331">
        <v>14.22</v>
      </c>
      <c r="K1331" t="s">
        <v>13</v>
      </c>
      <c r="L1331">
        <v>92</v>
      </c>
      <c r="M1331">
        <v>146</v>
      </c>
      <c r="N1331">
        <v>56</v>
      </c>
      <c r="O1331">
        <v>62</v>
      </c>
      <c r="P1331" t="s">
        <v>44</v>
      </c>
    </row>
    <row r="1332" spans="1:16" x14ac:dyDescent="0.25">
      <c r="A1332">
        <v>1343</v>
      </c>
      <c r="B1332" s="2">
        <v>44193.666666666664</v>
      </c>
      <c r="C1332" s="2">
        <v>44194.330555555556</v>
      </c>
      <c r="D1332">
        <v>1</v>
      </c>
      <c r="E1332" t="s">
        <v>4</v>
      </c>
      <c r="F1332" t="s">
        <v>3</v>
      </c>
      <c r="G1332" t="s">
        <v>35</v>
      </c>
      <c r="H1332">
        <v>58</v>
      </c>
      <c r="I1332">
        <v>3.13</v>
      </c>
      <c r="J1332">
        <v>2.27</v>
      </c>
      <c r="K1332" t="s">
        <v>15</v>
      </c>
      <c r="L1332">
        <v>102</v>
      </c>
      <c r="M1332">
        <v>175</v>
      </c>
      <c r="N1332">
        <v>86</v>
      </c>
      <c r="O1332">
        <v>46</v>
      </c>
      <c r="P1332" t="s">
        <v>46</v>
      </c>
    </row>
    <row r="1333" spans="1:16" x14ac:dyDescent="0.25">
      <c r="A1333">
        <v>1344</v>
      </c>
      <c r="B1333" s="2">
        <v>44192.583333333336</v>
      </c>
      <c r="C1333" s="2">
        <v>44194.34652777778</v>
      </c>
      <c r="D1333">
        <v>4</v>
      </c>
      <c r="E1333" t="s">
        <v>6</v>
      </c>
      <c r="F1333" t="s">
        <v>11</v>
      </c>
      <c r="G1333" t="s">
        <v>26</v>
      </c>
      <c r="H1333">
        <v>68</v>
      </c>
      <c r="I1333">
        <v>7.68</v>
      </c>
      <c r="J1333">
        <v>8.48</v>
      </c>
      <c r="K1333" t="s">
        <v>15</v>
      </c>
      <c r="L1333">
        <v>126</v>
      </c>
      <c r="M1333">
        <v>156</v>
      </c>
      <c r="N1333">
        <v>74</v>
      </c>
      <c r="O1333">
        <v>45</v>
      </c>
      <c r="P1333" t="s">
        <v>46</v>
      </c>
    </row>
    <row r="1334" spans="1:16" x14ac:dyDescent="0.25">
      <c r="A1334">
        <v>1345</v>
      </c>
      <c r="B1334" s="2">
        <v>44192.583333333336</v>
      </c>
      <c r="C1334" s="2">
        <v>44194.527083333334</v>
      </c>
      <c r="D1334">
        <v>1</v>
      </c>
      <c r="E1334" t="s">
        <v>6</v>
      </c>
      <c r="F1334" t="s">
        <v>3</v>
      </c>
      <c r="G1334" t="s">
        <v>25</v>
      </c>
      <c r="H1334">
        <v>54</v>
      </c>
      <c r="I1334">
        <v>5.97</v>
      </c>
      <c r="J1334">
        <v>2.54</v>
      </c>
      <c r="K1334" t="s">
        <v>15</v>
      </c>
      <c r="L1334">
        <v>70</v>
      </c>
      <c r="M1334">
        <v>170</v>
      </c>
      <c r="N1334">
        <v>70</v>
      </c>
      <c r="O1334">
        <v>40</v>
      </c>
      <c r="P1334" t="s">
        <v>46</v>
      </c>
    </row>
    <row r="1335" spans="1:16" x14ac:dyDescent="0.25">
      <c r="A1335">
        <v>1346</v>
      </c>
      <c r="B1335" s="2">
        <v>44195.275000000001</v>
      </c>
      <c r="C1335" s="2">
        <v>44195.322222222225</v>
      </c>
      <c r="D1335">
        <v>5</v>
      </c>
      <c r="E1335" t="s">
        <v>2</v>
      </c>
      <c r="F1335" t="s">
        <v>1</v>
      </c>
      <c r="G1335" t="s">
        <v>30</v>
      </c>
      <c r="H1335">
        <v>34</v>
      </c>
      <c r="I1335">
        <v>9.0399999999999991</v>
      </c>
      <c r="J1335">
        <v>3.27</v>
      </c>
      <c r="K1335" t="s">
        <v>15</v>
      </c>
      <c r="L1335">
        <v>80</v>
      </c>
      <c r="M1335">
        <v>175</v>
      </c>
      <c r="N1335">
        <v>70</v>
      </c>
      <c r="O1335">
        <v>37</v>
      </c>
      <c r="P1335" t="s">
        <v>46</v>
      </c>
    </row>
    <row r="1336" spans="1:16" x14ac:dyDescent="0.25">
      <c r="A1336">
        <v>1347</v>
      </c>
      <c r="B1336" s="2">
        <v>44194.291666666664</v>
      </c>
      <c r="C1336" s="2">
        <v>44195.564583333333</v>
      </c>
      <c r="D1336">
        <v>4</v>
      </c>
      <c r="E1336" t="s">
        <v>6</v>
      </c>
      <c r="F1336" t="s">
        <v>10</v>
      </c>
      <c r="G1336" t="s">
        <v>30</v>
      </c>
      <c r="H1336">
        <v>67</v>
      </c>
      <c r="I1336">
        <v>1.49</v>
      </c>
      <c r="J1336">
        <v>0.84</v>
      </c>
      <c r="K1336" t="s">
        <v>15</v>
      </c>
      <c r="L1336">
        <v>97</v>
      </c>
      <c r="M1336">
        <v>159</v>
      </c>
      <c r="N1336">
        <v>82</v>
      </c>
      <c r="O1336">
        <v>20</v>
      </c>
      <c r="P1336" t="s">
        <v>47</v>
      </c>
    </row>
    <row r="1337" spans="1:16" x14ac:dyDescent="0.25">
      <c r="A1337">
        <f>COUNT(Cardiac_Table[ID Number])</f>
        <v>1335</v>
      </c>
      <c r="B1337" s="9"/>
      <c r="C1337" s="9"/>
      <c r="K1337">
        <f>COUNTA(Cardiac_Table[Patient Status at Discharge])</f>
        <v>1335</v>
      </c>
      <c r="L1337" s="3"/>
      <c r="M1337" s="3"/>
      <c r="N1337" s="3"/>
      <c r="O1337" s="3"/>
      <c r="P1337" s="3"/>
    </row>
    <row r="1338" spans="1:16" x14ac:dyDescent="0.25">
      <c r="F1338" t="str" cm="1">
        <f t="array" ref="F1338:F1344">_xlfn.UNIQUE(Cardiac_Table[Operation Type],FALSE,FALSE)</f>
        <v>Valve</v>
      </c>
      <c r="G1338" t="str" cm="1">
        <f t="array" ref="G1338:G1354">_xlfn.UNIQUE(Cardiac_Table[Surgeon Name],FALSE,FALSE)</f>
        <v>S Scully</v>
      </c>
      <c r="J1338" t="s">
        <v>58</v>
      </c>
      <c r="K1338">
        <f>COUNTIF(Cardiac_Table[[#Data],[#Totals],[Patient Status at Discharge]],"Died")</f>
        <v>44</v>
      </c>
    </row>
    <row r="1339" spans="1:16" x14ac:dyDescent="0.25">
      <c r="F1339" t="str">
        <v>Major cardiac</v>
      </c>
      <c r="G1339" t="str">
        <v>E Ellingson</v>
      </c>
      <c r="J1339" t="s">
        <v>59</v>
      </c>
      <c r="K1339">
        <f>COUNTIF(Cardiac_Table[Patient Status at Discharge],"&lt;&gt;Unknown")</f>
        <v>1332</v>
      </c>
    </row>
    <row r="1340" spans="1:16" x14ac:dyDescent="0.25">
      <c r="F1340" t="str">
        <v>CABG</v>
      </c>
      <c r="G1340" t="str">
        <v>I Ibbotson</v>
      </c>
      <c r="J1340" t="s">
        <v>60</v>
      </c>
      <c r="K1340" s="12">
        <f>K1338/K1339</f>
        <v>3.3033033033033031E-2</v>
      </c>
    </row>
    <row r="1341" spans="1:16" x14ac:dyDescent="0.25">
      <c r="F1341" t="str">
        <v>CABG &amp; Valve</v>
      </c>
      <c r="G1341" t="str">
        <v>W Wilkening</v>
      </c>
    </row>
    <row r="1342" spans="1:16" x14ac:dyDescent="0.25">
      <c r="F1342" t="str">
        <v>Aorta surgery</v>
      </c>
      <c r="G1342" t="str">
        <v>G Guy</v>
      </c>
    </row>
    <row r="1343" spans="1:16" x14ac:dyDescent="0.25">
      <c r="F1343" t="str">
        <v>None</v>
      </c>
      <c r="G1343" t="str">
        <v>A Abbott</v>
      </c>
    </row>
    <row r="1344" spans="1:16" x14ac:dyDescent="0.25">
      <c r="F1344" t="str">
        <v>Other</v>
      </c>
      <c r="G1344" t="str">
        <v xml:space="preserve">K Doran </v>
      </c>
    </row>
    <row r="1345" spans="7:7" x14ac:dyDescent="0.25">
      <c r="G1345" t="str">
        <v>B Bryant</v>
      </c>
    </row>
    <row r="1346" spans="7:7" x14ac:dyDescent="0.25">
      <c r="G1346" t="str">
        <v>F Randle</v>
      </c>
    </row>
    <row r="1347" spans="7:7" x14ac:dyDescent="0.25">
      <c r="G1347" t="str">
        <v>C Cuthbert</v>
      </c>
    </row>
    <row r="1348" spans="7:7" x14ac:dyDescent="0.25">
      <c r="G1348" t="str">
        <v>L Shepard</v>
      </c>
    </row>
    <row r="1349" spans="7:7" x14ac:dyDescent="0.25">
      <c r="G1349" t="str">
        <v>H Hodgson</v>
      </c>
    </row>
    <row r="1350" spans="7:7" x14ac:dyDescent="0.25">
      <c r="G1350" t="str">
        <v>C Shasikaran</v>
      </c>
    </row>
    <row r="1351" spans="7:7" x14ac:dyDescent="0.25">
      <c r="G1351" t="str">
        <v>L LeBlanc</v>
      </c>
    </row>
    <row r="1352" spans="7:7" x14ac:dyDescent="0.25">
      <c r="G1352" t="str">
        <v>Multiple Surgeon Team</v>
      </c>
    </row>
    <row r="1353" spans="7:7" x14ac:dyDescent="0.25">
      <c r="G1353" t="str">
        <v>C Cheung</v>
      </c>
    </row>
    <row r="1354" spans="7:7" x14ac:dyDescent="0.25">
      <c r="G1354" t="str">
        <v>R Rubiella</v>
      </c>
    </row>
  </sheetData>
  <conditionalFormatting sqref="A1:A1336">
    <cfRule type="duplicateValues" dxfId="8" priority="10"/>
  </conditionalFormatting>
  <conditionalFormatting sqref="A2:A1336">
    <cfRule type="duplicateValues" dxfId="7" priority="31"/>
  </conditionalFormatting>
  <conditionalFormatting sqref="L2:L1336">
    <cfRule type="cellIs" dxfId="6" priority="1" operator="lessThan">
      <formula>60</formula>
    </cfRule>
    <cfRule type="cellIs" dxfId="5" priority="2" operator="greaterThan">
      <formula>200</formula>
    </cfRule>
  </conditionalFormatting>
  <conditionalFormatting sqref="M2:M1336">
    <cfRule type="cellIs" dxfId="4" priority="6" operator="greaterThan">
      <formula>220</formula>
    </cfRule>
    <cfRule type="cellIs" dxfId="3" priority="7" operator="lessThan">
      <formula>120</formula>
    </cfRule>
    <cfRule type="cellIs" priority="9" operator="lessThan">
      <formula>120</formula>
    </cfRule>
  </conditionalFormatting>
  <conditionalFormatting sqref="N2:N1336">
    <cfRule type="cellIs" dxfId="2" priority="3" operator="lessThan">
      <formula>43</formula>
    </cfRule>
    <cfRule type="cellIs" dxfId="1" priority="4" operator="lessThan">
      <formula>43</formula>
    </cfRule>
    <cfRule type="cellIs" dxfId="0" priority="5" operator="greaterThan">
      <formula>60</formula>
    </cfRule>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19D24-F34A-4012-88F8-F61B58775E42}">
  <dimension ref="A3:F34"/>
  <sheetViews>
    <sheetView showGridLines="0" workbookViewId="0">
      <selection activeCell="A15" sqref="A15"/>
    </sheetView>
  </sheetViews>
  <sheetFormatPr defaultRowHeight="15" x14ac:dyDescent="0.25"/>
  <cols>
    <col min="1" max="1" width="33.140625" bestFit="1" customWidth="1"/>
    <col min="2" max="2" width="23.5703125" customWidth="1"/>
    <col min="3" max="3" width="5.140625" bestFit="1" customWidth="1"/>
    <col min="4" max="4" width="9.5703125" bestFit="1" customWidth="1"/>
    <col min="5" max="5" width="11.28515625" bestFit="1" customWidth="1"/>
    <col min="6" max="6" width="21.5703125" customWidth="1"/>
  </cols>
  <sheetData>
    <row r="3" spans="1:6" x14ac:dyDescent="0.25">
      <c r="A3" s="4" t="s">
        <v>51</v>
      </c>
      <c r="B3" t="s">
        <v>61</v>
      </c>
    </row>
    <row r="4" spans="1:6" x14ac:dyDescent="0.25">
      <c r="A4" s="5" t="s">
        <v>3</v>
      </c>
      <c r="B4" s="3">
        <v>470</v>
      </c>
    </row>
    <row r="5" spans="1:6" x14ac:dyDescent="0.25">
      <c r="A5" s="5" t="s">
        <v>10</v>
      </c>
      <c r="B5" s="3">
        <v>468</v>
      </c>
    </row>
    <row r="6" spans="1:6" x14ac:dyDescent="0.25">
      <c r="A6" s="5" t="s">
        <v>11</v>
      </c>
      <c r="B6" s="3">
        <v>247</v>
      </c>
    </row>
    <row r="7" spans="1:6" x14ac:dyDescent="0.25">
      <c r="A7" s="5" t="s">
        <v>1</v>
      </c>
      <c r="B7" s="3">
        <v>122</v>
      </c>
    </row>
    <row r="8" spans="1:6" x14ac:dyDescent="0.25">
      <c r="A8" s="5" t="s">
        <v>5</v>
      </c>
      <c r="B8" s="3">
        <v>23</v>
      </c>
    </row>
    <row r="9" spans="1:6" x14ac:dyDescent="0.25">
      <c r="A9" s="5" t="s">
        <v>7</v>
      </c>
      <c r="B9" s="3">
        <v>3</v>
      </c>
    </row>
    <row r="10" spans="1:6" x14ac:dyDescent="0.25">
      <c r="A10" s="5" t="s">
        <v>8</v>
      </c>
      <c r="B10" s="3">
        <v>2</v>
      </c>
    </row>
    <row r="11" spans="1:6" x14ac:dyDescent="0.25">
      <c r="A11" s="5" t="s">
        <v>52</v>
      </c>
      <c r="B11" s="3">
        <v>1335</v>
      </c>
    </row>
    <row r="15" spans="1:6" x14ac:dyDescent="0.25">
      <c r="A15" s="4" t="s">
        <v>62</v>
      </c>
      <c r="B15" s="4" t="s">
        <v>54</v>
      </c>
      <c r="F15" s="13"/>
    </row>
    <row r="16" spans="1:6" x14ac:dyDescent="0.25">
      <c r="A16" s="4" t="s">
        <v>51</v>
      </c>
      <c r="B16" t="s">
        <v>15</v>
      </c>
      <c r="C16" t="s">
        <v>13</v>
      </c>
      <c r="D16" t="s">
        <v>14</v>
      </c>
      <c r="E16" t="s">
        <v>52</v>
      </c>
      <c r="F16" s="14" t="s">
        <v>60</v>
      </c>
    </row>
    <row r="17" spans="1:6" x14ac:dyDescent="0.25">
      <c r="A17" s="5" t="s">
        <v>30</v>
      </c>
      <c r="B17" s="3">
        <v>104</v>
      </c>
      <c r="C17" s="3">
        <v>5</v>
      </c>
      <c r="D17" s="3">
        <v>1</v>
      </c>
      <c r="E17" s="3">
        <v>110</v>
      </c>
      <c r="F17" s="11">
        <f>C17/(B17+C17)</f>
        <v>4.5871559633027525E-2</v>
      </c>
    </row>
    <row r="18" spans="1:6" x14ac:dyDescent="0.25">
      <c r="A18" s="5" t="s">
        <v>28</v>
      </c>
      <c r="B18" s="3">
        <v>92</v>
      </c>
      <c r="C18" s="3">
        <v>4</v>
      </c>
      <c r="D18" s="3"/>
      <c r="E18" s="3">
        <v>96</v>
      </c>
      <c r="F18" s="11">
        <f t="shared" ref="F18:F34" si="0">C18/(B18+C18)</f>
        <v>4.1666666666666664E-2</v>
      </c>
    </row>
    <row r="19" spans="1:6" x14ac:dyDescent="0.25">
      <c r="A19" s="5" t="s">
        <v>33</v>
      </c>
      <c r="B19" s="3">
        <v>99</v>
      </c>
      <c r="C19" s="3">
        <v>4</v>
      </c>
      <c r="D19" s="3"/>
      <c r="E19" s="3">
        <v>103</v>
      </c>
      <c r="F19" s="11">
        <f t="shared" si="0"/>
        <v>3.8834951456310676E-2</v>
      </c>
    </row>
    <row r="20" spans="1:6" x14ac:dyDescent="0.25">
      <c r="A20" s="5" t="s">
        <v>21</v>
      </c>
      <c r="B20" s="3">
        <v>84</v>
      </c>
      <c r="C20" s="3">
        <v>4</v>
      </c>
      <c r="D20" s="3"/>
      <c r="E20" s="3">
        <v>88</v>
      </c>
      <c r="F20" s="11">
        <f t="shared" si="0"/>
        <v>4.5454545454545456E-2</v>
      </c>
    </row>
    <row r="21" spans="1:6" x14ac:dyDescent="0.25">
      <c r="A21" s="5" t="s">
        <v>32</v>
      </c>
      <c r="B21" s="3">
        <v>89</v>
      </c>
      <c r="C21" s="3">
        <v>4</v>
      </c>
      <c r="D21" s="3">
        <v>1</v>
      </c>
      <c r="E21" s="3">
        <v>94</v>
      </c>
      <c r="F21" s="11">
        <f t="shared" si="0"/>
        <v>4.3010752688172046E-2</v>
      </c>
    </row>
    <row r="22" spans="1:6" x14ac:dyDescent="0.25">
      <c r="A22" s="5" t="s">
        <v>31</v>
      </c>
      <c r="B22" s="3">
        <v>155</v>
      </c>
      <c r="C22" s="3">
        <v>4</v>
      </c>
      <c r="D22" s="3"/>
      <c r="E22" s="3">
        <v>159</v>
      </c>
      <c r="F22" s="11">
        <f t="shared" si="0"/>
        <v>2.5157232704402517E-2</v>
      </c>
    </row>
    <row r="23" spans="1:6" x14ac:dyDescent="0.25">
      <c r="A23" s="5" t="s">
        <v>36</v>
      </c>
      <c r="B23" s="3">
        <v>1</v>
      </c>
      <c r="C23" s="3">
        <v>3</v>
      </c>
      <c r="D23" s="3"/>
      <c r="E23" s="3">
        <v>4</v>
      </c>
      <c r="F23" s="11">
        <f t="shared" si="0"/>
        <v>0.75</v>
      </c>
    </row>
    <row r="24" spans="1:6" x14ac:dyDescent="0.25">
      <c r="A24" s="5" t="s">
        <v>23</v>
      </c>
      <c r="B24" s="3">
        <v>154</v>
      </c>
      <c r="C24" s="3">
        <v>3</v>
      </c>
      <c r="D24" s="3"/>
      <c r="E24" s="3">
        <v>157</v>
      </c>
      <c r="F24" s="11">
        <f t="shared" si="0"/>
        <v>1.9108280254777069E-2</v>
      </c>
    </row>
    <row r="25" spans="1:6" x14ac:dyDescent="0.25">
      <c r="A25" s="5" t="s">
        <v>26</v>
      </c>
      <c r="B25" s="3">
        <v>76</v>
      </c>
      <c r="C25" s="3">
        <v>3</v>
      </c>
      <c r="D25" s="3"/>
      <c r="E25" s="3">
        <v>79</v>
      </c>
      <c r="F25" s="11">
        <f t="shared" si="0"/>
        <v>3.7974683544303799E-2</v>
      </c>
    </row>
    <row r="26" spans="1:6" x14ac:dyDescent="0.25">
      <c r="A26" s="5" t="s">
        <v>22</v>
      </c>
      <c r="B26" s="3">
        <v>25</v>
      </c>
      <c r="C26" s="3">
        <v>3</v>
      </c>
      <c r="D26" s="3"/>
      <c r="E26" s="3">
        <v>28</v>
      </c>
      <c r="F26" s="11">
        <f t="shared" si="0"/>
        <v>0.10714285714285714</v>
      </c>
    </row>
    <row r="27" spans="1:6" x14ac:dyDescent="0.25">
      <c r="A27" s="5" t="s">
        <v>29</v>
      </c>
      <c r="B27" s="3">
        <v>73</v>
      </c>
      <c r="C27" s="3">
        <v>2</v>
      </c>
      <c r="D27" s="3"/>
      <c r="E27" s="3">
        <v>75</v>
      </c>
      <c r="F27" s="11">
        <f t="shared" si="0"/>
        <v>2.6666666666666668E-2</v>
      </c>
    </row>
    <row r="28" spans="1:6" x14ac:dyDescent="0.25">
      <c r="A28" s="5" t="s">
        <v>35</v>
      </c>
      <c r="B28" s="3">
        <v>123</v>
      </c>
      <c r="C28" s="3">
        <v>2</v>
      </c>
      <c r="D28" s="3">
        <v>1</v>
      </c>
      <c r="E28" s="3">
        <v>126</v>
      </c>
      <c r="F28" s="11">
        <f t="shared" si="0"/>
        <v>1.6E-2</v>
      </c>
    </row>
    <row r="29" spans="1:6" x14ac:dyDescent="0.25">
      <c r="A29" s="5" t="s">
        <v>24</v>
      </c>
      <c r="B29" s="3">
        <v>105</v>
      </c>
      <c r="C29" s="3">
        <v>2</v>
      </c>
      <c r="D29" s="3"/>
      <c r="E29" s="3">
        <v>107</v>
      </c>
      <c r="F29" s="11">
        <f t="shared" si="0"/>
        <v>1.8691588785046728E-2</v>
      </c>
    </row>
    <row r="30" spans="1:6" x14ac:dyDescent="0.25">
      <c r="A30" s="5" t="s">
        <v>27</v>
      </c>
      <c r="B30" s="3">
        <v>58</v>
      </c>
      <c r="C30" s="3">
        <v>1</v>
      </c>
      <c r="D30" s="3"/>
      <c r="E30" s="3">
        <v>59</v>
      </c>
      <c r="F30" s="11">
        <f t="shared" si="0"/>
        <v>1.6949152542372881E-2</v>
      </c>
    </row>
    <row r="31" spans="1:6" x14ac:dyDescent="0.25">
      <c r="A31" s="5" t="s">
        <v>34</v>
      </c>
      <c r="B31" s="3">
        <v>20</v>
      </c>
      <c r="C31" s="3"/>
      <c r="D31" s="3"/>
      <c r="E31" s="3">
        <v>20</v>
      </c>
      <c r="F31" s="11">
        <f t="shared" si="0"/>
        <v>0</v>
      </c>
    </row>
    <row r="32" spans="1:6" x14ac:dyDescent="0.25">
      <c r="A32" s="5" t="s">
        <v>20</v>
      </c>
      <c r="B32" s="3">
        <v>18</v>
      </c>
      <c r="C32" s="3"/>
      <c r="D32" s="3"/>
      <c r="E32" s="3">
        <v>18</v>
      </c>
      <c r="F32" s="11">
        <f t="shared" si="0"/>
        <v>0</v>
      </c>
    </row>
    <row r="33" spans="1:6" x14ac:dyDescent="0.25">
      <c r="A33" s="5" t="s">
        <v>25</v>
      </c>
      <c r="B33" s="3">
        <v>12</v>
      </c>
      <c r="C33" s="3"/>
      <c r="D33" s="3"/>
      <c r="E33" s="3">
        <v>12</v>
      </c>
      <c r="F33" s="11">
        <f t="shared" si="0"/>
        <v>0</v>
      </c>
    </row>
    <row r="34" spans="1:6" x14ac:dyDescent="0.25">
      <c r="A34" s="5" t="s">
        <v>52</v>
      </c>
      <c r="B34" s="3">
        <v>1288</v>
      </c>
      <c r="C34" s="3">
        <v>44</v>
      </c>
      <c r="D34" s="3">
        <v>3</v>
      </c>
      <c r="E34" s="3">
        <v>1335</v>
      </c>
      <c r="F34" s="11">
        <f t="shared" si="0"/>
        <v>3.3033033033033031E-2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8C74D-DC28-432C-972B-1ECB8518BB00}">
  <dimension ref="A3:L29"/>
  <sheetViews>
    <sheetView showGridLines="0" workbookViewId="0">
      <selection activeCell="E29" sqref="E29"/>
    </sheetView>
  </sheetViews>
  <sheetFormatPr defaultRowHeight="15" x14ac:dyDescent="0.25"/>
  <cols>
    <col min="1" max="1" width="22.42578125" bestFit="1" customWidth="1"/>
    <col min="2" max="2" width="16.28515625" bestFit="1" customWidth="1"/>
    <col min="3" max="3" width="6" bestFit="1" customWidth="1"/>
    <col min="4" max="4" width="13.5703125" bestFit="1" customWidth="1"/>
    <col min="5" max="5" width="12.85546875" bestFit="1" customWidth="1"/>
    <col min="6" max="6" width="5.85546875" bestFit="1" customWidth="1"/>
    <col min="7" max="7" width="6.140625" bestFit="1" customWidth="1"/>
    <col min="8" max="8" width="6" bestFit="1" customWidth="1"/>
    <col min="9" max="9" width="11.28515625" bestFit="1" customWidth="1"/>
    <col min="10" max="10" width="10.42578125" bestFit="1" customWidth="1"/>
    <col min="11" max="11" width="9.85546875" bestFit="1" customWidth="1"/>
    <col min="12" max="12" width="8.28515625" bestFit="1" customWidth="1"/>
    <col min="13" max="13" width="9" bestFit="1" customWidth="1"/>
    <col min="14" max="14" width="9.5703125" bestFit="1" customWidth="1"/>
    <col min="15" max="15" width="22.140625" bestFit="1" customWidth="1"/>
    <col min="16" max="16" width="9.85546875" bestFit="1" customWidth="1"/>
    <col min="17" max="17" width="7.5703125" bestFit="1" customWidth="1"/>
    <col min="18" max="18" width="12.5703125" bestFit="1" customWidth="1"/>
    <col min="19" max="19" width="11.28515625" bestFit="1" customWidth="1"/>
  </cols>
  <sheetData>
    <row r="3" spans="1:9" x14ac:dyDescent="0.25">
      <c r="A3" s="4" t="s">
        <v>53</v>
      </c>
      <c r="B3" s="4" t="s">
        <v>54</v>
      </c>
    </row>
    <row r="4" spans="1:9" x14ac:dyDescent="0.25">
      <c r="A4" s="4" t="s">
        <v>51</v>
      </c>
      <c r="B4" t="s">
        <v>1</v>
      </c>
      <c r="C4" t="s">
        <v>10</v>
      </c>
      <c r="D4" t="s">
        <v>11</v>
      </c>
      <c r="E4" t="s">
        <v>5</v>
      </c>
      <c r="F4" t="s">
        <v>7</v>
      </c>
      <c r="G4" t="s">
        <v>8</v>
      </c>
      <c r="H4" t="s">
        <v>3</v>
      </c>
      <c r="I4" t="s">
        <v>52</v>
      </c>
    </row>
    <row r="5" spans="1:9" x14ac:dyDescent="0.25">
      <c r="A5" s="5" t="s">
        <v>21</v>
      </c>
      <c r="B5" s="3">
        <v>5</v>
      </c>
      <c r="C5" s="3">
        <v>43</v>
      </c>
      <c r="D5" s="3">
        <v>12</v>
      </c>
      <c r="E5" s="3"/>
      <c r="F5" s="3">
        <v>1</v>
      </c>
      <c r="G5" s="3"/>
      <c r="H5" s="3">
        <v>27</v>
      </c>
      <c r="I5" s="3">
        <v>88</v>
      </c>
    </row>
    <row r="6" spans="1:9" x14ac:dyDescent="0.25">
      <c r="A6" s="5" t="s">
        <v>24</v>
      </c>
      <c r="B6" s="3">
        <v>6</v>
      </c>
      <c r="C6" s="3">
        <v>59</v>
      </c>
      <c r="D6" s="3">
        <v>20</v>
      </c>
      <c r="E6" s="3"/>
      <c r="F6" s="3"/>
      <c r="G6" s="3"/>
      <c r="H6" s="3">
        <v>22</v>
      </c>
      <c r="I6" s="3">
        <v>107</v>
      </c>
    </row>
    <row r="7" spans="1:9" x14ac:dyDescent="0.25">
      <c r="A7" s="5" t="s">
        <v>32</v>
      </c>
      <c r="B7" s="3">
        <v>2</v>
      </c>
      <c r="C7" s="3">
        <v>15</v>
      </c>
      <c r="D7" s="3">
        <v>31</v>
      </c>
      <c r="E7" s="3">
        <v>1</v>
      </c>
      <c r="F7" s="3"/>
      <c r="G7" s="3">
        <v>1</v>
      </c>
      <c r="H7" s="3">
        <v>44</v>
      </c>
      <c r="I7" s="3">
        <v>94</v>
      </c>
    </row>
    <row r="8" spans="1:9" x14ac:dyDescent="0.25">
      <c r="A8" s="5" t="s">
        <v>23</v>
      </c>
      <c r="B8" s="3">
        <v>49</v>
      </c>
      <c r="C8" s="3">
        <v>48</v>
      </c>
      <c r="D8" s="3">
        <v>24</v>
      </c>
      <c r="E8" s="3">
        <v>2</v>
      </c>
      <c r="F8" s="3"/>
      <c r="G8" s="3">
        <v>1</v>
      </c>
      <c r="H8" s="3">
        <v>33</v>
      </c>
      <c r="I8" s="3">
        <v>157</v>
      </c>
    </row>
    <row r="9" spans="1:9" x14ac:dyDescent="0.25">
      <c r="A9" s="5" t="s">
        <v>35</v>
      </c>
      <c r="B9" s="3"/>
      <c r="C9" s="3">
        <v>7</v>
      </c>
      <c r="D9" s="3">
        <v>16</v>
      </c>
      <c r="E9" s="3"/>
      <c r="F9" s="3"/>
      <c r="G9" s="3"/>
      <c r="H9" s="3">
        <v>103</v>
      </c>
      <c r="I9" s="3">
        <v>126</v>
      </c>
    </row>
    <row r="10" spans="1:9" x14ac:dyDescent="0.25">
      <c r="A10" s="5" t="s">
        <v>26</v>
      </c>
      <c r="B10" s="3">
        <v>2</v>
      </c>
      <c r="C10" s="3">
        <v>37</v>
      </c>
      <c r="D10" s="3">
        <v>20</v>
      </c>
      <c r="E10" s="3">
        <v>2</v>
      </c>
      <c r="F10" s="3"/>
      <c r="G10" s="3"/>
      <c r="H10" s="3">
        <v>18</v>
      </c>
      <c r="I10" s="3">
        <v>79</v>
      </c>
    </row>
    <row r="11" spans="1:9" x14ac:dyDescent="0.25">
      <c r="A11" s="5" t="s">
        <v>31</v>
      </c>
      <c r="B11" s="3">
        <v>12</v>
      </c>
      <c r="C11" s="3">
        <v>89</v>
      </c>
      <c r="D11" s="3">
        <v>28</v>
      </c>
      <c r="E11" s="3">
        <v>4</v>
      </c>
      <c r="F11" s="3"/>
      <c r="G11" s="3"/>
      <c r="H11" s="3">
        <v>26</v>
      </c>
      <c r="I11" s="3">
        <v>159</v>
      </c>
    </row>
    <row r="12" spans="1:9" x14ac:dyDescent="0.25">
      <c r="A12" s="5" t="s">
        <v>28</v>
      </c>
      <c r="B12" s="3">
        <v>3</v>
      </c>
      <c r="C12" s="3">
        <v>9</v>
      </c>
      <c r="D12" s="3">
        <v>16</v>
      </c>
      <c r="E12" s="3">
        <v>2</v>
      </c>
      <c r="F12" s="3">
        <v>1</v>
      </c>
      <c r="G12" s="3"/>
      <c r="H12" s="3">
        <v>65</v>
      </c>
      <c r="I12" s="3">
        <v>96</v>
      </c>
    </row>
    <row r="13" spans="1:9" x14ac:dyDescent="0.25">
      <c r="A13" s="5" t="s">
        <v>33</v>
      </c>
      <c r="B13" s="3">
        <v>5</v>
      </c>
      <c r="C13" s="3">
        <v>33</v>
      </c>
      <c r="D13" s="3">
        <v>18</v>
      </c>
      <c r="E13" s="3">
        <v>5</v>
      </c>
      <c r="F13" s="3"/>
      <c r="G13" s="3"/>
      <c r="H13" s="3">
        <v>42</v>
      </c>
      <c r="I13" s="3">
        <v>103</v>
      </c>
    </row>
    <row r="14" spans="1:9" x14ac:dyDescent="0.25">
      <c r="A14" s="5" t="s">
        <v>30</v>
      </c>
      <c r="B14" s="3">
        <v>11</v>
      </c>
      <c r="C14" s="3">
        <v>50</v>
      </c>
      <c r="D14" s="3">
        <v>20</v>
      </c>
      <c r="E14" s="3">
        <v>5</v>
      </c>
      <c r="F14" s="3">
        <v>1</v>
      </c>
      <c r="G14" s="3"/>
      <c r="H14" s="3">
        <v>23</v>
      </c>
      <c r="I14" s="3">
        <v>110</v>
      </c>
    </row>
    <row r="15" spans="1:9" x14ac:dyDescent="0.25">
      <c r="A15" s="5" t="s">
        <v>52</v>
      </c>
      <c r="B15" s="3">
        <v>95</v>
      </c>
      <c r="C15" s="3">
        <v>390</v>
      </c>
      <c r="D15" s="3">
        <v>205</v>
      </c>
      <c r="E15" s="3">
        <v>21</v>
      </c>
      <c r="F15" s="3">
        <v>3</v>
      </c>
      <c r="G15" s="3">
        <v>2</v>
      </c>
      <c r="H15" s="3">
        <v>403</v>
      </c>
      <c r="I15" s="3">
        <v>1119</v>
      </c>
    </row>
    <row r="29" spans="2:12" x14ac:dyDescent="0.25">
      <c r="B29" s="6"/>
      <c r="C29" s="6"/>
      <c r="D29" s="6"/>
      <c r="E29" s="6"/>
      <c r="F29" s="6"/>
      <c r="G29" s="6"/>
      <c r="H29" s="6"/>
      <c r="I29" s="6"/>
      <c r="J29" s="6"/>
      <c r="K29" s="6"/>
      <c r="L29" s="6"/>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A2190-B990-4A90-A2C8-D22C3DB2D010}">
  <dimension ref="A3:G50"/>
  <sheetViews>
    <sheetView showGridLines="0" topLeftCell="A9" workbookViewId="0">
      <selection activeCell="G2" sqref="G2"/>
    </sheetView>
  </sheetViews>
  <sheetFormatPr defaultRowHeight="15" x14ac:dyDescent="0.25"/>
  <cols>
    <col min="1" max="1" width="22" bestFit="1" customWidth="1"/>
    <col min="2" max="2" width="16.28515625" bestFit="1" customWidth="1"/>
    <col min="3" max="3" width="34.5703125" bestFit="1" customWidth="1"/>
    <col min="4" max="4" width="9.5703125" bestFit="1" customWidth="1"/>
    <col min="5" max="5" width="11.28515625" bestFit="1" customWidth="1"/>
    <col min="6" max="6" width="5.140625" bestFit="1" customWidth="1"/>
    <col min="7" max="7" width="9.5703125" bestFit="1" customWidth="1"/>
    <col min="8" max="9" width="37.42578125" bestFit="1" customWidth="1"/>
  </cols>
  <sheetData>
    <row r="3" spans="1:5" x14ac:dyDescent="0.25">
      <c r="A3" s="4" t="s">
        <v>55</v>
      </c>
      <c r="B3" s="4" t="s">
        <v>54</v>
      </c>
    </row>
    <row r="4" spans="1:5" x14ac:dyDescent="0.25">
      <c r="A4" s="4" t="s">
        <v>51</v>
      </c>
      <c r="B4" t="s">
        <v>15</v>
      </c>
      <c r="C4" t="s">
        <v>13</v>
      </c>
      <c r="D4" t="s">
        <v>14</v>
      </c>
      <c r="E4" t="s">
        <v>52</v>
      </c>
    </row>
    <row r="5" spans="1:5" x14ac:dyDescent="0.25">
      <c r="A5" s="5" t="s">
        <v>20</v>
      </c>
      <c r="B5" s="3">
        <v>18</v>
      </c>
      <c r="C5" s="3"/>
      <c r="D5" s="3"/>
      <c r="E5" s="3">
        <v>18</v>
      </c>
    </row>
    <row r="6" spans="1:5" x14ac:dyDescent="0.25">
      <c r="A6" s="5" t="s">
        <v>21</v>
      </c>
      <c r="B6" s="3">
        <v>84</v>
      </c>
      <c r="C6" s="3">
        <v>4</v>
      </c>
      <c r="D6" s="3"/>
      <c r="E6" s="3">
        <v>88</v>
      </c>
    </row>
    <row r="7" spans="1:5" x14ac:dyDescent="0.25">
      <c r="A7" s="5" t="s">
        <v>24</v>
      </c>
      <c r="B7" s="3">
        <v>105</v>
      </c>
      <c r="C7" s="3">
        <v>2</v>
      </c>
      <c r="D7" s="3"/>
      <c r="E7" s="3">
        <v>107</v>
      </c>
    </row>
    <row r="8" spans="1:5" x14ac:dyDescent="0.25">
      <c r="A8" s="5" t="s">
        <v>22</v>
      </c>
      <c r="B8" s="3">
        <v>25</v>
      </c>
      <c r="C8" s="3">
        <v>3</v>
      </c>
      <c r="D8" s="3"/>
      <c r="E8" s="3">
        <v>28</v>
      </c>
    </row>
    <row r="9" spans="1:5" x14ac:dyDescent="0.25">
      <c r="A9" s="5" t="s">
        <v>32</v>
      </c>
      <c r="B9" s="3">
        <v>89</v>
      </c>
      <c r="C9" s="3">
        <v>4</v>
      </c>
      <c r="D9" s="3">
        <v>1</v>
      </c>
      <c r="E9" s="3">
        <v>94</v>
      </c>
    </row>
    <row r="10" spans="1:5" x14ac:dyDescent="0.25">
      <c r="A10" s="5" t="s">
        <v>23</v>
      </c>
      <c r="B10" s="3">
        <v>154</v>
      </c>
      <c r="C10" s="3">
        <v>3</v>
      </c>
      <c r="D10" s="3"/>
      <c r="E10" s="3">
        <v>157</v>
      </c>
    </row>
    <row r="11" spans="1:5" x14ac:dyDescent="0.25">
      <c r="A11" s="5" t="s">
        <v>35</v>
      </c>
      <c r="B11" s="3">
        <v>123</v>
      </c>
      <c r="C11" s="3">
        <v>2</v>
      </c>
      <c r="D11" s="3">
        <v>1</v>
      </c>
      <c r="E11" s="3">
        <v>126</v>
      </c>
    </row>
    <row r="12" spans="1:5" x14ac:dyDescent="0.25">
      <c r="A12" s="5" t="s">
        <v>26</v>
      </c>
      <c r="B12" s="3">
        <v>76</v>
      </c>
      <c r="C12" s="3">
        <v>3</v>
      </c>
      <c r="D12" s="3"/>
      <c r="E12" s="3">
        <v>79</v>
      </c>
    </row>
    <row r="13" spans="1:5" x14ac:dyDescent="0.25">
      <c r="A13" s="5" t="s">
        <v>31</v>
      </c>
      <c r="B13" s="3">
        <v>155</v>
      </c>
      <c r="C13" s="3">
        <v>4</v>
      </c>
      <c r="D13" s="3"/>
      <c r="E13" s="3">
        <v>159</v>
      </c>
    </row>
    <row r="14" spans="1:5" x14ac:dyDescent="0.25">
      <c r="A14" s="5" t="s">
        <v>28</v>
      </c>
      <c r="B14" s="3">
        <v>92</v>
      </c>
      <c r="C14" s="3">
        <v>4</v>
      </c>
      <c r="D14" s="3"/>
      <c r="E14" s="3">
        <v>96</v>
      </c>
    </row>
    <row r="15" spans="1:5" x14ac:dyDescent="0.25">
      <c r="A15" s="5" t="s">
        <v>33</v>
      </c>
      <c r="B15" s="3">
        <v>99</v>
      </c>
      <c r="C15" s="3">
        <v>4</v>
      </c>
      <c r="D15" s="3"/>
      <c r="E15" s="3">
        <v>103</v>
      </c>
    </row>
    <row r="16" spans="1:5" x14ac:dyDescent="0.25">
      <c r="A16" s="5" t="s">
        <v>25</v>
      </c>
      <c r="B16" s="3">
        <v>12</v>
      </c>
      <c r="C16" s="3"/>
      <c r="D16" s="3"/>
      <c r="E16" s="3">
        <v>12</v>
      </c>
    </row>
    <row r="17" spans="1:5" x14ac:dyDescent="0.25">
      <c r="A17" s="5" t="s">
        <v>34</v>
      </c>
      <c r="B17" s="3">
        <v>20</v>
      </c>
      <c r="C17" s="3"/>
      <c r="D17" s="3"/>
      <c r="E17" s="3">
        <v>20</v>
      </c>
    </row>
    <row r="18" spans="1:5" x14ac:dyDescent="0.25">
      <c r="A18" s="5" t="s">
        <v>36</v>
      </c>
      <c r="B18" s="3">
        <v>1</v>
      </c>
      <c r="C18" s="3">
        <v>3</v>
      </c>
      <c r="D18" s="3"/>
      <c r="E18" s="3">
        <v>4</v>
      </c>
    </row>
    <row r="19" spans="1:5" x14ac:dyDescent="0.25">
      <c r="A19" s="5" t="s">
        <v>27</v>
      </c>
      <c r="B19" s="3">
        <v>58</v>
      </c>
      <c r="C19" s="3">
        <v>1</v>
      </c>
      <c r="D19" s="3"/>
      <c r="E19" s="3">
        <v>59</v>
      </c>
    </row>
    <row r="20" spans="1:5" x14ac:dyDescent="0.25">
      <c r="A20" s="5" t="s">
        <v>30</v>
      </c>
      <c r="B20" s="3">
        <v>104</v>
      </c>
      <c r="C20" s="3">
        <v>5</v>
      </c>
      <c r="D20" s="3">
        <v>1</v>
      </c>
      <c r="E20" s="3">
        <v>110</v>
      </c>
    </row>
    <row r="21" spans="1:5" x14ac:dyDescent="0.25">
      <c r="A21" s="5" t="s">
        <v>29</v>
      </c>
      <c r="B21" s="3">
        <v>73</v>
      </c>
      <c r="C21" s="3">
        <v>2</v>
      </c>
      <c r="D21" s="3"/>
      <c r="E21" s="3">
        <v>75</v>
      </c>
    </row>
    <row r="22" spans="1:5" x14ac:dyDescent="0.25">
      <c r="A22" s="5" t="s">
        <v>52</v>
      </c>
      <c r="B22" s="3">
        <v>1288</v>
      </c>
      <c r="C22" s="3">
        <v>44</v>
      </c>
      <c r="D22" s="3">
        <v>3</v>
      </c>
      <c r="E22" s="3">
        <v>1335</v>
      </c>
    </row>
    <row r="32" spans="1:5" x14ac:dyDescent="0.25">
      <c r="A32" s="4" t="s">
        <v>51</v>
      </c>
      <c r="B32" t="s">
        <v>56</v>
      </c>
      <c r="C32" t="s">
        <v>57</v>
      </c>
    </row>
    <row r="33" spans="1:7" x14ac:dyDescent="0.25">
      <c r="A33" s="5" t="s">
        <v>20</v>
      </c>
      <c r="B33" s="7">
        <v>6.9138888888888888</v>
      </c>
      <c r="C33" s="7">
        <v>3.2166666666666668</v>
      </c>
    </row>
    <row r="34" spans="1:7" x14ac:dyDescent="0.25">
      <c r="A34" s="5" t="s">
        <v>21</v>
      </c>
      <c r="B34" s="7">
        <v>7.5112500000000004</v>
      </c>
      <c r="C34" s="7">
        <v>3.2899999999999987</v>
      </c>
    </row>
    <row r="35" spans="1:7" x14ac:dyDescent="0.25">
      <c r="A35" s="5" t="s">
        <v>24</v>
      </c>
      <c r="B35" s="7">
        <v>7.0729906542056087</v>
      </c>
      <c r="C35" s="7">
        <v>3.4012149532710287</v>
      </c>
    </row>
    <row r="36" spans="1:7" x14ac:dyDescent="0.25">
      <c r="A36" s="5" t="s">
        <v>22</v>
      </c>
      <c r="B36" s="7">
        <v>11.512499999999999</v>
      </c>
      <c r="C36" s="7">
        <v>5.4367857142857146</v>
      </c>
    </row>
    <row r="37" spans="1:7" x14ac:dyDescent="0.25">
      <c r="A37" s="5" t="s">
        <v>32</v>
      </c>
      <c r="B37" s="7">
        <v>10.951808510638301</v>
      </c>
      <c r="C37" s="7">
        <v>5.3194680851063847</v>
      </c>
    </row>
    <row r="38" spans="1:7" x14ac:dyDescent="0.25">
      <c r="A38" s="5" t="s">
        <v>23</v>
      </c>
      <c r="B38" s="7">
        <v>9.7776433121019082</v>
      </c>
      <c r="C38" s="7">
        <v>3.7668152866242028</v>
      </c>
    </row>
    <row r="39" spans="1:7" x14ac:dyDescent="0.25">
      <c r="A39" s="5" t="s">
        <v>35</v>
      </c>
      <c r="B39" s="7">
        <v>6.0993650793650787</v>
      </c>
      <c r="C39" s="7">
        <v>2.65031746031746</v>
      </c>
    </row>
    <row r="40" spans="1:7" x14ac:dyDescent="0.25">
      <c r="A40" s="5" t="s">
        <v>26</v>
      </c>
      <c r="B40" s="7">
        <v>6.1508860759493658</v>
      </c>
      <c r="C40" s="7">
        <v>3.7730379746835463</v>
      </c>
    </row>
    <row r="41" spans="1:7" x14ac:dyDescent="0.25">
      <c r="A41" s="5" t="s">
        <v>31</v>
      </c>
      <c r="B41" s="7">
        <v>8.264339622641506</v>
      </c>
      <c r="C41" s="7">
        <v>3.7606289308176097</v>
      </c>
    </row>
    <row r="42" spans="1:7" x14ac:dyDescent="0.25">
      <c r="A42" s="5" t="s">
        <v>28</v>
      </c>
      <c r="B42" s="7">
        <v>9.5862500000000015</v>
      </c>
      <c r="C42" s="7">
        <v>4.5602083333333328</v>
      </c>
    </row>
    <row r="43" spans="1:7" x14ac:dyDescent="0.25">
      <c r="A43" s="5" t="s">
        <v>33</v>
      </c>
      <c r="B43" s="7">
        <v>8.3058252427184485</v>
      </c>
      <c r="C43" s="7">
        <v>4.4944660194174757</v>
      </c>
    </row>
    <row r="44" spans="1:7" x14ac:dyDescent="0.25">
      <c r="A44" s="5" t="s">
        <v>25</v>
      </c>
      <c r="B44" s="7">
        <v>7.4816666666666665</v>
      </c>
      <c r="C44" s="7">
        <v>1.9791666666666667</v>
      </c>
      <c r="G44" s="7"/>
    </row>
    <row r="45" spans="1:7" x14ac:dyDescent="0.25">
      <c r="A45" s="5" t="s">
        <v>34</v>
      </c>
      <c r="B45" s="7">
        <v>5.8375000000000004</v>
      </c>
      <c r="C45" s="7">
        <v>1.988</v>
      </c>
    </row>
    <row r="46" spans="1:7" x14ac:dyDescent="0.25">
      <c r="A46" s="5" t="s">
        <v>36</v>
      </c>
      <c r="B46" s="7">
        <v>22.509999999999998</v>
      </c>
      <c r="C46" s="7">
        <v>19.8825</v>
      </c>
    </row>
    <row r="47" spans="1:7" x14ac:dyDescent="0.25">
      <c r="A47" s="5" t="s">
        <v>27</v>
      </c>
      <c r="B47" s="7">
        <v>6.1155932203389831</v>
      </c>
      <c r="C47" s="7">
        <v>2.5328813559322039</v>
      </c>
    </row>
    <row r="48" spans="1:7" x14ac:dyDescent="0.25">
      <c r="A48" s="5" t="s">
        <v>30</v>
      </c>
      <c r="B48" s="7">
        <v>10.266727272727277</v>
      </c>
      <c r="C48" s="7">
        <v>4.7346363636363655</v>
      </c>
    </row>
    <row r="49" spans="1:3" x14ac:dyDescent="0.25">
      <c r="A49" s="5" t="s">
        <v>29</v>
      </c>
      <c r="B49" s="7">
        <v>7.8091999999999988</v>
      </c>
      <c r="C49" s="7">
        <v>3.8718666666666675</v>
      </c>
    </row>
    <row r="50" spans="1:3" x14ac:dyDescent="0.25">
      <c r="A50" s="5" t="s">
        <v>52</v>
      </c>
      <c r="B50" s="7">
        <v>8.348936329588005</v>
      </c>
      <c r="C50" s="7">
        <v>3.8871460674157401</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59D19-EDCE-49EF-A6D9-6B6BC1860621}">
  <dimension ref="A1:A3"/>
  <sheetViews>
    <sheetView showGridLines="0" tabSelected="1" zoomScale="80" zoomScaleNormal="80" workbookViewId="0">
      <selection activeCell="AE3" sqref="AE3"/>
    </sheetView>
  </sheetViews>
  <sheetFormatPr defaultRowHeight="15" x14ac:dyDescent="0.25"/>
  <cols>
    <col min="1" max="4" width="9.140625" style="8"/>
    <col min="5" max="5" width="11" style="8" customWidth="1"/>
    <col min="6" max="6" width="24.85546875" style="8" customWidth="1"/>
    <col min="7" max="7" width="9.140625" style="8"/>
    <col min="8" max="8" width="7.42578125" style="8" customWidth="1"/>
    <col min="9" max="9" width="12.85546875" style="8" customWidth="1"/>
    <col min="10" max="10" width="23.28515625" style="8" customWidth="1"/>
    <col min="11" max="11" width="11" style="8" bestFit="1" customWidth="1"/>
    <col min="12" max="12" width="13" style="8" customWidth="1"/>
    <col min="13" max="13" width="12.85546875" style="8" bestFit="1" customWidth="1"/>
    <col min="14" max="19" width="9.140625" style="8"/>
    <col min="20" max="20" width="11.140625" style="8" customWidth="1"/>
    <col min="21" max="21" width="14" style="8" customWidth="1"/>
    <col min="22" max="26" width="9.140625" style="8"/>
    <col min="27" max="27" width="6.7109375" style="8" customWidth="1"/>
    <col min="28" max="16384" width="9.140625" style="8"/>
  </cols>
  <sheetData>
    <row r="1" s="8" customFormat="1" ht="26.25" customHeight="1" x14ac:dyDescent="0.25"/>
    <row r="2" s="8" customFormat="1" ht="30.75" customHeight="1" x14ac:dyDescent="0.25"/>
    <row r="3" s="10" customFormat="1" ht="51"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EDA</vt:lpstr>
      <vt:lpstr>Operation by operation type-EDA</vt:lpstr>
      <vt:lpstr>Actual&amp;Predicted mortality(EDA)</vt:lpstr>
      <vt:lpstr>Cardiac_Surgery_Dashboard</vt:lpstr>
    </vt:vector>
  </TitlesOfParts>
  <Company>Papworth Hospital NHS Foundation Trust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Bates</dc:creator>
  <cp:lastModifiedBy>Oluwaseun Michael</cp:lastModifiedBy>
  <cp:lastPrinted>2022-07-03T19:50:17Z</cp:lastPrinted>
  <dcterms:created xsi:type="dcterms:W3CDTF">2021-01-21T16:35:32Z</dcterms:created>
  <dcterms:modified xsi:type="dcterms:W3CDTF">2026-04-03T12:27:57Z</dcterms:modified>
</cp:coreProperties>
</file>